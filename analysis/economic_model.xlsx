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louter\Desktop\001. Дипломы 2026\002. Кирилл Любомиров\Lubomirov_1C_v11_Import\RESULTS_v12\"/>
    </mc:Choice>
  </mc:AlternateContent>
  <xr:revisionPtr revIDLastSave="0" documentId="8_{C66A73F2-DD14-4F15-B7F9-A44C1858E0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сходные_данные" sheetId="1" r:id="rId1"/>
    <sheet name="Трудоемкость_ASIS" sheetId="2" r:id="rId2"/>
    <sheet name="Трудоемкость_TOBE" sheetId="3" r:id="rId3"/>
    <sheet name="Стоимость_разработки" sheetId="4" r:id="rId4"/>
    <sheet name="Эффективность" sheetId="5" r:id="rId5"/>
    <sheet name="Денежный_поток" sheetId="6" r:id="rId6"/>
    <sheet name="Чувствительность" sheetId="7" r:id="rId7"/>
    <sheet name="Пояснения" sheetId="8" r:id="rId8"/>
    <sheet name="Графики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9" l="1"/>
  <c r="B4" i="9"/>
  <c r="E5" i="6"/>
  <c r="E4" i="6"/>
  <c r="E3" i="6"/>
  <c r="C9" i="5"/>
  <c r="B12" i="9" s="1"/>
  <c r="C6" i="5"/>
  <c r="B10" i="9" s="1"/>
  <c r="B9" i="4"/>
  <c r="C11" i="5" s="1"/>
  <c r="D6" i="4"/>
  <c r="D5" i="4"/>
  <c r="D4" i="4"/>
  <c r="D3" i="4"/>
  <c r="D2" i="4"/>
  <c r="D9" i="3"/>
  <c r="F7" i="3" s="1"/>
  <c r="D7" i="3"/>
  <c r="E7" i="3" s="1"/>
  <c r="D6" i="3"/>
  <c r="E6" i="3" s="1"/>
  <c r="D5" i="3"/>
  <c r="E5" i="3" s="1"/>
  <c r="D4" i="3"/>
  <c r="E4" i="3" s="1"/>
  <c r="D3" i="3"/>
  <c r="E3" i="3" s="1"/>
  <c r="D2" i="3"/>
  <c r="E2" i="3" s="1"/>
  <c r="D10" i="2"/>
  <c r="F7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B19" i="1"/>
  <c r="B18" i="1"/>
  <c r="C2" i="5" s="1"/>
  <c r="B2" i="6" l="1"/>
  <c r="D2" i="6" s="1"/>
  <c r="D12" i="2"/>
  <c r="D11" i="3"/>
  <c r="C3" i="9" s="1"/>
  <c r="B3" i="7"/>
  <c r="C7" i="5"/>
  <c r="B11" i="9" s="1"/>
  <c r="B2" i="9"/>
  <c r="D10" i="3"/>
  <c r="F8" i="2"/>
  <c r="D11" i="2"/>
  <c r="F4" i="2"/>
  <c r="F4" i="3"/>
  <c r="F5" i="3"/>
  <c r="C2" i="9"/>
  <c r="F5" i="2"/>
  <c r="F2" i="2"/>
  <c r="F6" i="2"/>
  <c r="F2" i="3"/>
  <c r="F6" i="3"/>
  <c r="C3" i="5"/>
  <c r="F3" i="2"/>
  <c r="F3" i="3"/>
  <c r="F2" i="6" l="1"/>
  <c r="B17" i="9"/>
  <c r="C17" i="9" s="1"/>
  <c r="C4" i="5"/>
  <c r="C3" i="7" s="1"/>
  <c r="D3" i="7" s="1"/>
  <c r="E3" i="7" s="1"/>
  <c r="B3" i="9"/>
  <c r="D17" i="9" l="1"/>
  <c r="C4" i="7"/>
  <c r="D4" i="7" s="1"/>
  <c r="E4" i="7" s="1"/>
  <c r="C2" i="7"/>
  <c r="D2" i="7" s="1"/>
  <c r="E2" i="7" s="1"/>
  <c r="C5" i="5"/>
  <c r="B9" i="9" l="1"/>
  <c r="C8" i="5"/>
  <c r="C10" i="5" s="1"/>
  <c r="B13" i="9" l="1"/>
  <c r="C12" i="5"/>
  <c r="C13" i="5"/>
  <c r="C4" i="6"/>
  <c r="D4" i="6" s="1"/>
  <c r="C5" i="6"/>
  <c r="D5" i="6" s="1"/>
  <c r="C14" i="5"/>
  <c r="C3" i="6"/>
  <c r="D3" i="6" s="1"/>
  <c r="F3" i="6" l="1"/>
  <c r="B18" i="9"/>
  <c r="C18" i="9" s="1"/>
  <c r="B20" i="9"/>
  <c r="F5" i="6"/>
  <c r="D20" i="9" s="1"/>
  <c r="F4" i="6"/>
  <c r="D19" i="9" s="1"/>
  <c r="B19" i="9"/>
  <c r="C19" i="9" l="1"/>
  <c r="C20" i="9" s="1"/>
  <c r="D18" i="9"/>
  <c r="B9" i="6"/>
  <c r="B8" i="6"/>
</calcChain>
</file>

<file path=xl/sharedStrings.xml><?xml version="1.0" encoding="utf-8"?>
<sst xmlns="http://schemas.openxmlformats.org/spreadsheetml/2006/main" count="255" uniqueCount="188">
  <si>
    <t>Параметр</t>
  </si>
  <si>
    <t>Значение</t>
  </si>
  <si>
    <t>Ед. изм.</t>
  </si>
  <si>
    <t>Статус данных</t>
  </si>
  <si>
    <t>Пояснение</t>
  </si>
  <si>
    <t>Кадровых событий в демонстрационном наборе</t>
  </si>
  <si>
    <t>событий</t>
  </si>
  <si>
    <t>Учебные данные; не замер потока предприятия</t>
  </si>
  <si>
    <t>11 событий — исходный демонстрационный набор. Экстраполяция на год является допущением модели.</t>
  </si>
  <si>
    <t>Рабочих дней в контрольном периоде</t>
  </si>
  <si>
    <t>дней</t>
  </si>
  <si>
    <t>Сценарное допущение</t>
  </si>
  <si>
    <t>20 рабочих дней — условная длительность расчётного периода.</t>
  </si>
  <si>
    <t>Рабочих дней в году</t>
  </si>
  <si>
    <t>247 дней — параметр модели, не подтверждённый производственный календарь.</t>
  </si>
  <si>
    <t>Кадровик: расчетная стоимость часа</t>
  </si>
  <si>
    <t>руб./ч</t>
  </si>
  <si>
    <t>Не является фактической зарплатой сотрудника организации</t>
  </si>
  <si>
    <t>Оператор уведомлений: стоимость часа</t>
  </si>
  <si>
    <t>Расчетная полная стоимость рабочего часа</t>
  </si>
  <si>
    <t>Руководитель: стоимость часа</t>
  </si>
  <si>
    <t>Бухгалтерия: стоимость часа</t>
  </si>
  <si>
    <t>Месячная экономия времени на сводной отчетности</t>
  </si>
  <si>
    <t>ч/мес</t>
  </si>
  <si>
    <t>За счет отчетов СКД вместо ручной сверки</t>
  </si>
  <si>
    <t>Расчетная ставка для отчетности</t>
  </si>
  <si>
    <t>Ставка кадровика для расчета экономии отчетного времени</t>
  </si>
  <si>
    <t>Годовые эксплуатационные затраты</t>
  </si>
  <si>
    <t>руб./год</t>
  </si>
  <si>
    <t>Резерв на сопровождение, обновления и контрольные проверки</t>
  </si>
  <si>
    <t>Горизонт оценки</t>
  </si>
  <si>
    <t>года</t>
  </si>
  <si>
    <t>Для расчета накопленного эффекта и NPV</t>
  </si>
  <si>
    <t>Ставка дисконтирования</t>
  </si>
  <si>
    <t>доля</t>
  </si>
  <si>
    <t>Применяется для учебной оценки NPV</t>
  </si>
  <si>
    <t>Вероятность дополнительной ручной доработки AS IS</t>
  </si>
  <si>
    <t>доля событий</t>
  </si>
  <si>
    <t>Ошибки/уточнения адресатов и статусов</t>
  </si>
  <si>
    <t>Средняя трудоемкость одной доработки AS IS</t>
  </si>
  <si>
    <t>мин</t>
  </si>
  <si>
    <t>Дополнительная ручная сверка/повтор</t>
  </si>
  <si>
    <t>Расчетный показатель</t>
  </si>
  <si>
    <t>Прогноз событий в год</t>
  </si>
  <si>
    <t>Событий в месяц</t>
  </si>
  <si>
    <t>Операция</t>
  </si>
  <si>
    <t>Роль</t>
  </si>
  <si>
    <t>Минут на событие</t>
  </si>
  <si>
    <t>Стоимость часа</t>
  </si>
  <si>
    <t>Стоимость операции</t>
  </si>
  <si>
    <t>Доля времени</t>
  </si>
  <si>
    <t>Комментарий</t>
  </si>
  <si>
    <t>Проверка основания и данных</t>
  </si>
  <si>
    <t>Кадровик</t>
  </si>
  <si>
    <t>Ручная проверка исходных сведений</t>
  </si>
  <si>
    <t>Ручное определение получателей</t>
  </si>
  <si>
    <t>По спискам/контактным данным</t>
  </si>
  <si>
    <t>Подготовка текста уведомления</t>
  </si>
  <si>
    <t>Отдельное формирование текста</t>
  </si>
  <si>
    <t>Отправка и фиксация результата</t>
  </si>
  <si>
    <t>Оператор уведомлений</t>
  </si>
  <si>
    <t>Ручная отправка и отметка</t>
  </si>
  <si>
    <t>Контроль статуса/повтор</t>
  </si>
  <si>
    <t>Ручной контроль результата</t>
  </si>
  <si>
    <t>Согласование/просмотр</t>
  </si>
  <si>
    <t>Руководитель</t>
  </si>
  <si>
    <t>Доля времени на один случай</t>
  </si>
  <si>
    <t>Финансово значимое уведомление</t>
  </si>
  <si>
    <t>Бухгалтерия</t>
  </si>
  <si>
    <t>Итого минут на событие</t>
  </si>
  <si>
    <t>Итого часов на событие</t>
  </si>
  <si>
    <t>Итого стоимость на событие</t>
  </si>
  <si>
    <t>Ввод и проверка исходных данных</t>
  </si>
  <si>
    <t>Основной ручной ввод сохраняется</t>
  </si>
  <si>
    <t>Автоматический подбор получателей</t>
  </si>
  <si>
    <t>По правилу рассылки</t>
  </si>
  <si>
    <t>Формирование подготовленных уведомлений</t>
  </si>
  <si>
    <t>Автоматически при проведении</t>
  </si>
  <si>
    <t>Контроль результатов/ошибок</t>
  </si>
  <si>
    <t>По регистрам и отчетам</t>
  </si>
  <si>
    <t>Просмотр результата</t>
  </si>
  <si>
    <t>Через отчет</t>
  </si>
  <si>
    <t>Контроль финансового изменения</t>
  </si>
  <si>
    <t>Через уведомление/отчет</t>
  </si>
  <si>
    <t>Этап</t>
  </si>
  <si>
    <t>Трудоемкость, ч</t>
  </si>
  <si>
    <t>Ставка, руб./ч</t>
  </si>
  <si>
    <t>Стоимость</t>
  </si>
  <si>
    <t>Статус</t>
  </si>
  <si>
    <t>Анализ и постановка задачи</t>
  </si>
  <si>
    <t>сценарное</t>
  </si>
  <si>
    <t>Аналитическая часть и требования</t>
  </si>
  <si>
    <t>Проектирование процесса и данных</t>
  </si>
  <si>
    <t>AS IS/TO BE, архитектура, модели данных</t>
  </si>
  <si>
    <t>Разработка конфигурации 1С</t>
  </si>
  <si>
    <t>Объекты, модули, СКД, роли, бизнес-процесс</t>
  </si>
  <si>
    <t>Тестирование и исправления</t>
  </si>
  <si>
    <t>Функциональные и регрессионные проверки</t>
  </si>
  <si>
    <t>Документирование и развертывание</t>
  </si>
  <si>
    <t>README, инструкции, поставка</t>
  </si>
  <si>
    <t>Показатель</t>
  </si>
  <si>
    <t>Итого стоимость разработки</t>
  </si>
  <si>
    <t>Формула/основание</t>
  </si>
  <si>
    <t>Прогноз кадровых изменений в год</t>
  </si>
  <si>
    <t>11 / 20 рабочих дней × 247 дней</t>
  </si>
  <si>
    <t>событий/год</t>
  </si>
  <si>
    <t>Экономия времени на событие</t>
  </si>
  <si>
    <t>AS IS - TO BE</t>
  </si>
  <si>
    <t>Экономия стоимости труда на событие</t>
  </si>
  <si>
    <t>руб./событие</t>
  </si>
  <si>
    <t>Годовая экономия по обработке событий</t>
  </si>
  <si>
    <t>события × экономия/событие</t>
  </si>
  <si>
    <t>Годовая экономия на отчетности</t>
  </si>
  <si>
    <t>2 ч/мес × 12 × ставка</t>
  </si>
  <si>
    <t>Избежанные затраты на ручные доработки</t>
  </si>
  <si>
    <t>частота × трудоемкость × ставка</t>
  </si>
  <si>
    <t>Валовой годовой эффект</t>
  </si>
  <si>
    <t>сумма трех эффектов</t>
  </si>
  <si>
    <t>Эксплуатационные затраты</t>
  </si>
  <si>
    <t>из исходных данных</t>
  </si>
  <si>
    <t>Чистый годовой эффект</t>
  </si>
  <si>
    <t>валовой эффект - эксплуатация</t>
  </si>
  <si>
    <t>Инвестиции в разработку</t>
  </si>
  <si>
    <t>смета разработки</t>
  </si>
  <si>
    <t>руб.</t>
  </si>
  <si>
    <t>Срок окупаемости</t>
  </si>
  <si>
    <t>инвестиции / чистый эффект × 12</t>
  </si>
  <si>
    <t>мес.</t>
  </si>
  <si>
    <t>Коэффициент годового эффекта к инвестициям</t>
  </si>
  <si>
    <t>чистый годовой эффект / инвестиции</t>
  </si>
  <si>
    <t>коэфф.</t>
  </si>
  <si>
    <t>ROI первого года</t>
  </si>
  <si>
    <t>(чистый годовой эффект - инвестиции) / инвестиции</t>
  </si>
  <si>
    <t>%</t>
  </si>
  <si>
    <t>Год</t>
  </si>
  <si>
    <t>Инвестиции</t>
  </si>
  <si>
    <t>Чистый эффект</t>
  </si>
  <si>
    <t>Денежный поток</t>
  </si>
  <si>
    <t>Коэффициент дисконтирования</t>
  </si>
  <si>
    <t>Дисконтированный поток</t>
  </si>
  <si>
    <t>NPV за 3 года</t>
  </si>
  <si>
    <t>Индекс доходности (PI)</t>
  </si>
  <si>
    <t>Сценарий</t>
  </si>
  <si>
    <t>Событий в год</t>
  </si>
  <si>
    <t>Экономия на обработке</t>
  </si>
  <si>
    <t>Окупаемость, мес.</t>
  </si>
  <si>
    <t>Консервативный</t>
  </si>
  <si>
    <t>Базовый</t>
  </si>
  <si>
    <t>Интенсивный</t>
  </si>
  <si>
    <t>Пункт</t>
  </si>
  <si>
    <t>Содержание</t>
  </si>
  <si>
    <t>1</t>
  </si>
  <si>
    <t>11 событий — набор примеров из материалов практики за 18.05–14.06.2026. Это не измерение производственного потока.</t>
  </si>
  <si>
    <t>2</t>
  </si>
  <si>
    <t>Стоимости рабочего часа, длительности операций, эксплуатационные затраты, ставка дисконтирования и доля ручных доработок являются сценарными расчетными параметрами учебной модели.</t>
  </si>
  <si>
    <t>3</t>
  </si>
  <si>
    <t>Модель не утверждает фактическую зарплату работников ООО «Кадровые технологии» и не выдает демонстрационную организацию за источник бухгалтерских данных.</t>
  </si>
  <si>
    <t>4</t>
  </si>
  <si>
    <t>135,85 события в год — расчётный сценарий по условной интенсивности 11 событий за 20 дней; 247 дней также заданы как допущение.</t>
  </si>
  <si>
    <t>5</t>
  </si>
  <si>
    <t>Эффект складывается из экономии времени обработки одного события, экономии времени на сводной отчетности и расчетных затрат на устранение ручных ошибок.</t>
  </si>
  <si>
    <t>6</t>
  </si>
  <si>
    <t>Для оценки внедрения нужны замеры ручного процесса, статистика кадровых событий и утверждённые затраты. Структура формул позволяет заменить исходные параметры.</t>
  </si>
  <si>
    <t>Основание расчёта</t>
  </si>
  <si>
    <t>Времена, ставки, интенсивность, затраты и частота ошибок являются сценарными оценками.</t>
  </si>
  <si>
    <t>Данные практики</t>
  </si>
  <si>
    <t>Наличие 11 примеров не доказывает, что предприятие обрабатывает именно 11 событий за 20 дней.</t>
  </si>
  <si>
    <t>Испытания версии 0.12.1</t>
  </si>
  <si>
    <t>60 кадровых событий и 120 уведомлений проверяют работоспособность программы. Их количество не используется как прогноз потока предприятия.</t>
  </si>
  <si>
    <t>Область применения</t>
  </si>
  <si>
    <t>Учебный прототип. Экономическая модель не подтверждает промышленное внедрение.</t>
  </si>
  <si>
    <t>Диаграммы</t>
  </si>
  <si>
    <t>Три диаграммы исходной книги переработаны и связаны с ячейками листа Графики; данные и формулы сохранены.</t>
  </si>
  <si>
    <t>Источник</t>
  </si>
  <si>
    <t>Исходная книга economic_model_v06_SOURCE.xlsx из архива автора. Сохранены формулы и три редактируемые диаграммы Excel.</t>
  </si>
  <si>
    <t>До автоматизации</t>
  </si>
  <si>
    <t>Проектный сценарий</t>
  </si>
  <si>
    <t>Стоимость труда на событие</t>
  </si>
  <si>
    <t>Ручных минут кадровика/оператора</t>
  </si>
  <si>
    <t>Автоматизированная проверка исключений</t>
  </si>
  <si>
    <t>Компонент эффекта</t>
  </si>
  <si>
    <t>Обработка событий</t>
  </si>
  <si>
    <t>Подготовка отчётов</t>
  </si>
  <si>
    <t>Исправление ошибок</t>
  </si>
  <si>
    <t>Сопровождение</t>
  </si>
  <si>
    <t>Накопленный поток</t>
  </si>
  <si>
    <t>Расчётный сценарий — не результаты испытаний.</t>
  </si>
  <si>
    <t>Измените исходные параметры и времена на соответствующих листах. Диаграммы используют формулы, а не вручную введённые итоговые значения.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</si>
</sst>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#,##0.00\ &quot;₽&quot;"/>
    <numFmt numFmtId="167" formatCode="0.000"/>
    <numFmt numFmtId="168" formatCode="#,##0.00;[Red]\-#,##0.00;\–"/>
  </numFmts>
  <fonts count="6" x14ac:knownFonts="1">
    <font>
      <sz val="11"/>
      <name val="Carlito"/>
    </font>
    <font>
      <b/>
      <sz val="11"/>
      <color rgb="FFFFFFFF"/>
      <name val="Carlito"/>
    </font>
    <font>
      <b/>
      <sz val="11"/>
      <color rgb="FFFFFFFF"/>
      <name val="Arial"/>
    </font>
    <font>
      <sz val="11"/>
      <name val="Arial"/>
    </font>
    <font>
      <b/>
      <sz val="11"/>
      <color rgb="FF9C5700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167" fontId="0" fillId="0" borderId="0" xfId="1" applyNumberFormat="1" applyFont="1" applyAlignment="1">
      <alignment vertical="top" wrapText="1"/>
    </xf>
    <xf numFmtId="0" fontId="2" fillId="2" borderId="0" xfId="1" applyFont="1" applyFill="1" applyAlignment="1">
      <alignment horizontal="center" vertical="top" wrapText="1"/>
    </xf>
    <xf numFmtId="0" fontId="3" fillId="0" borderId="0" xfId="1" applyFont="1" applyAlignment="1">
      <alignment vertical="top" wrapText="1"/>
    </xf>
    <xf numFmtId="168" fontId="3" fillId="0" borderId="0" xfId="1" applyNumberFormat="1" applyFont="1" applyAlignment="1">
      <alignment vertical="top" wrapText="1"/>
    </xf>
    <xf numFmtId="1" fontId="3" fillId="0" borderId="0" xfId="1" applyNumberFormat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Трудоёмкость, мин на событие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До автоматизации</c:v>
          </c:tx>
          <c:spPr>
            <a:solidFill>
              <a:srgbClr val="7B8794"/>
            </a:solidFill>
          </c:spPr>
          <c:invertIfNegative val="1"/>
          <c:cat>
            <c:strRef>
              <c:f>Графики!$A$2</c:f>
              <c:strCache>
                <c:ptCount val="1"/>
                <c:pt idx="0">
                  <c:v>Минут на событие</c:v>
                </c:pt>
              </c:strCache>
            </c:strRef>
          </c:cat>
          <c:val>
            <c:numRef>
              <c:f>Графики!$B$2</c:f>
              <c:numCache>
                <c:formatCode>0</c:formatCode>
                <c:ptCount val="1"/>
                <c:pt idx="0">
                  <c:v>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B204-427F-A2E9-0CF9F390CF09}"/>
            </c:ext>
          </c:extLst>
        </c:ser>
        <c:ser>
          <c:idx val="1"/>
          <c:order val="1"/>
          <c:tx>
            <c:v>Проектный сценарий</c:v>
          </c:tx>
          <c:spPr>
            <a:solidFill>
              <a:srgbClr val="247B82"/>
            </a:solidFill>
          </c:spPr>
          <c:invertIfNegative val="1"/>
          <c:cat>
            <c:strRef>
              <c:f>Графики!$A$2</c:f>
              <c:strCache>
                <c:ptCount val="1"/>
                <c:pt idx="0">
                  <c:v>Минут на событие</c:v>
                </c:pt>
              </c:strCache>
            </c:strRef>
          </c:cat>
          <c:val>
            <c:numRef>
              <c:f>Графики!$C$2</c:f>
              <c:numCache>
                <c:formatCode>0</c:formatCode>
                <c:ptCount val="1"/>
                <c:pt idx="0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B204-427F-A2E9-0CF9F390C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Годовой эффект по компонентам, руб.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руб./год</c:v>
          </c:tx>
          <c:spPr>
            <a:solidFill>
              <a:srgbClr val="247B82"/>
            </a:solidFill>
          </c:spPr>
          <c:invertIfNegative val="1"/>
          <c:cat>
            <c:strRef>
              <c:f>Графики!$A$9:$A$12</c:f>
              <c:strCache>
                <c:ptCount val="4"/>
                <c:pt idx="0">
                  <c:v>Обработка событий</c:v>
                </c:pt>
                <c:pt idx="1">
                  <c:v>Подготовка отчётов</c:v>
                </c:pt>
                <c:pt idx="2">
                  <c:v>Исправление ошибок</c:v>
                </c:pt>
                <c:pt idx="3">
                  <c:v>Сопровождение</c:v>
                </c:pt>
              </c:strCache>
            </c:strRef>
          </c:cat>
          <c:val>
            <c:numRef>
              <c:f>Графики!$B$9:$B$12</c:f>
              <c:numCache>
                <c:formatCode>#\ ##0.00;[Red]\-#\ ##0.00;\–</c:formatCode>
                <c:ptCount val="4"/>
                <c:pt idx="0">
                  <c:v>38038.000000000007</c:v>
                </c:pt>
                <c:pt idx="1">
                  <c:v>13200</c:v>
                </c:pt>
                <c:pt idx="2">
                  <c:v>2490.5833333333339</c:v>
                </c:pt>
                <c:pt idx="3">
                  <c:v>-8000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DF0-411A-9E1A-38481AFCE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sz="1125">
                <a:latin typeface="Arial"/>
                <a:ea typeface="Arial"/>
                <a:cs typeface="Arial"/>
              </a:rPr>
              <a:t>Накопленный расчётный поток, руб.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Накопленный поток</c:v>
          </c:tx>
          <c:spPr>
            <a:ln w="19050">
              <a:solidFill>
                <a:srgbClr val="247B82"/>
              </a:solidFill>
              <a:prstDash val="solid"/>
            </a:ln>
          </c:spPr>
          <c:marker>
            <c:symbol val="none"/>
          </c:marker>
          <c:cat>
            <c:numRef>
              <c:f>Графики!$A$17:$A$20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Графики!$C$17:$C$20</c:f>
              <c:numCache>
                <c:formatCode>#\ ##0.00;[Red]\-#\ ##0.00;\–</c:formatCode>
                <c:ptCount val="4"/>
                <c:pt idx="0">
                  <c:v>-42050</c:v>
                </c:pt>
                <c:pt idx="1">
                  <c:v>3678.583333333343</c:v>
                </c:pt>
                <c:pt idx="2">
                  <c:v>49407.166666666686</c:v>
                </c:pt>
                <c:pt idx="3">
                  <c:v>95135.750000000029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08-4D0A-8DEC-E39347BC4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low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ru-RU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17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17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17</xdr:col>
      <xdr:colOff>0</xdr:colOff>
      <xdr:row>51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/>
  </sheetViews>
  <sheetFormatPr defaultRowHeight="15" x14ac:dyDescent="0.25"/>
  <cols>
    <col min="1" max="1" width="34" customWidth="1"/>
    <col min="2" max="3" width="20" customWidth="1"/>
    <col min="4" max="4" width="24" customWidth="1"/>
    <col min="5" max="5" width="48" customWidth="1"/>
    <col min="6" max="7" width="20" customWidth="1"/>
  </cols>
  <sheetData>
    <row r="1" spans="1:7" ht="26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ht="65.099999999999994" customHeight="1" x14ac:dyDescent="0.25">
      <c r="A2" s="2" t="s">
        <v>5</v>
      </c>
      <c r="B2" s="2">
        <v>11</v>
      </c>
      <c r="C2" s="2" t="s">
        <v>6</v>
      </c>
      <c r="D2" s="2" t="s">
        <v>7</v>
      </c>
      <c r="E2" s="2" t="s">
        <v>8</v>
      </c>
      <c r="F2" s="2"/>
      <c r="G2" s="2"/>
    </row>
    <row r="3" spans="1:7" ht="65.099999999999994" customHeight="1" x14ac:dyDescent="0.25">
      <c r="A3" s="2" t="s">
        <v>9</v>
      </c>
      <c r="B3" s="2">
        <v>20</v>
      </c>
      <c r="C3" s="2" t="s">
        <v>10</v>
      </c>
      <c r="D3" s="2" t="s">
        <v>11</v>
      </c>
      <c r="E3" s="2" t="s">
        <v>12</v>
      </c>
      <c r="F3" s="2"/>
      <c r="G3" s="2"/>
    </row>
    <row r="4" spans="1:7" ht="65.099999999999994" customHeight="1" x14ac:dyDescent="0.25">
      <c r="A4" s="2" t="s">
        <v>13</v>
      </c>
      <c r="B4" s="2">
        <v>247</v>
      </c>
      <c r="C4" s="2" t="s">
        <v>10</v>
      </c>
      <c r="D4" s="2" t="s">
        <v>11</v>
      </c>
      <c r="E4" s="2" t="s">
        <v>14</v>
      </c>
      <c r="F4" s="2"/>
      <c r="G4" s="2"/>
    </row>
    <row r="5" spans="1:7" ht="132" customHeight="1" x14ac:dyDescent="0.25">
      <c r="A5" s="2" t="s">
        <v>15</v>
      </c>
      <c r="B5" s="2">
        <v>550</v>
      </c>
      <c r="C5" s="2" t="s">
        <v>16</v>
      </c>
      <c r="D5" s="2" t="s">
        <v>11</v>
      </c>
      <c r="E5" s="2" t="s">
        <v>17</v>
      </c>
      <c r="F5" s="2"/>
      <c r="G5" s="2"/>
    </row>
    <row r="6" spans="1:7" ht="79.150000000000006" customHeight="1" x14ac:dyDescent="0.25">
      <c r="A6" s="2" t="s">
        <v>18</v>
      </c>
      <c r="B6" s="2">
        <v>500</v>
      </c>
      <c r="C6" s="2" t="s">
        <v>16</v>
      </c>
      <c r="D6" s="2" t="s">
        <v>11</v>
      </c>
      <c r="E6" s="2" t="s">
        <v>19</v>
      </c>
      <c r="F6" s="2"/>
      <c r="G6" s="2"/>
    </row>
    <row r="7" spans="1:7" ht="79.150000000000006" customHeight="1" x14ac:dyDescent="0.25">
      <c r="A7" s="2" t="s">
        <v>20</v>
      </c>
      <c r="B7" s="2">
        <v>900</v>
      </c>
      <c r="C7" s="2" t="s">
        <v>16</v>
      </c>
      <c r="D7" s="2" t="s">
        <v>11</v>
      </c>
      <c r="E7" s="2" t="s">
        <v>19</v>
      </c>
      <c r="F7" s="2"/>
      <c r="G7" s="2"/>
    </row>
    <row r="8" spans="1:7" ht="79.150000000000006" customHeight="1" x14ac:dyDescent="0.25">
      <c r="A8" s="2" t="s">
        <v>21</v>
      </c>
      <c r="B8" s="2">
        <v>650</v>
      </c>
      <c r="C8" s="2" t="s">
        <v>16</v>
      </c>
      <c r="D8" s="2" t="s">
        <v>11</v>
      </c>
      <c r="E8" s="2" t="s">
        <v>19</v>
      </c>
      <c r="F8" s="2"/>
      <c r="G8" s="2"/>
    </row>
    <row r="9" spans="1:7" ht="92.45" customHeight="1" x14ac:dyDescent="0.25">
      <c r="A9" s="2" t="s">
        <v>22</v>
      </c>
      <c r="B9" s="2">
        <v>2</v>
      </c>
      <c r="C9" s="2" t="s">
        <v>23</v>
      </c>
      <c r="D9" s="2" t="s">
        <v>11</v>
      </c>
      <c r="E9" s="2" t="s">
        <v>24</v>
      </c>
      <c r="F9" s="2"/>
      <c r="G9" s="2"/>
    </row>
    <row r="10" spans="1:7" ht="92.45" customHeight="1" x14ac:dyDescent="0.25">
      <c r="A10" s="2" t="s">
        <v>25</v>
      </c>
      <c r="B10" s="2">
        <v>550</v>
      </c>
      <c r="C10" s="2" t="s">
        <v>16</v>
      </c>
      <c r="D10" s="2" t="s">
        <v>11</v>
      </c>
      <c r="E10" s="2" t="s">
        <v>26</v>
      </c>
      <c r="F10" s="2"/>
      <c r="G10" s="2"/>
    </row>
    <row r="11" spans="1:7" ht="105.6" customHeight="1" x14ac:dyDescent="0.25">
      <c r="A11" s="2" t="s">
        <v>27</v>
      </c>
      <c r="B11" s="2">
        <v>8000</v>
      </c>
      <c r="C11" s="2" t="s">
        <v>28</v>
      </c>
      <c r="D11" s="2" t="s">
        <v>11</v>
      </c>
      <c r="E11" s="2" t="s">
        <v>29</v>
      </c>
      <c r="F11" s="2"/>
      <c r="G11" s="2"/>
    </row>
    <row r="12" spans="1:7" ht="79.150000000000006" customHeight="1" x14ac:dyDescent="0.25">
      <c r="A12" s="2" t="s">
        <v>30</v>
      </c>
      <c r="B12" s="3">
        <v>3</v>
      </c>
      <c r="C12" s="2" t="s">
        <v>31</v>
      </c>
      <c r="D12" s="2" t="s">
        <v>11</v>
      </c>
      <c r="E12" s="2" t="s">
        <v>32</v>
      </c>
      <c r="F12" s="2"/>
      <c r="G12" s="2"/>
    </row>
    <row r="13" spans="1:7" ht="66" customHeight="1" x14ac:dyDescent="0.25">
      <c r="A13" s="2" t="s">
        <v>33</v>
      </c>
      <c r="B13" s="3">
        <v>0.12</v>
      </c>
      <c r="C13" s="2" t="s">
        <v>34</v>
      </c>
      <c r="D13" s="2" t="s">
        <v>11</v>
      </c>
      <c r="E13" s="2" t="s">
        <v>35</v>
      </c>
      <c r="F13" s="2"/>
      <c r="G13" s="2"/>
    </row>
    <row r="14" spans="1:7" ht="92.45" customHeight="1" x14ac:dyDescent="0.25">
      <c r="A14" s="2" t="s">
        <v>36</v>
      </c>
      <c r="B14" s="4">
        <v>0.08</v>
      </c>
      <c r="C14" s="2" t="s">
        <v>37</v>
      </c>
      <c r="D14" s="2" t="s">
        <v>11</v>
      </c>
      <c r="E14" s="2" t="s">
        <v>38</v>
      </c>
      <c r="F14" s="2"/>
      <c r="G14" s="2"/>
    </row>
    <row r="15" spans="1:7" ht="79.150000000000006" customHeight="1" x14ac:dyDescent="0.25">
      <c r="A15" s="2" t="s">
        <v>39</v>
      </c>
      <c r="B15" s="2">
        <v>25</v>
      </c>
      <c r="C15" s="2" t="s">
        <v>40</v>
      </c>
      <c r="D15" s="2" t="s">
        <v>11</v>
      </c>
      <c r="E15" s="2" t="s">
        <v>41</v>
      </c>
      <c r="F15" s="2"/>
      <c r="G15" s="2"/>
    </row>
    <row r="16" spans="1:7" ht="15" customHeight="1" x14ac:dyDescent="0.25">
      <c r="A16" s="2"/>
      <c r="B16" s="2"/>
      <c r="C16" s="2"/>
      <c r="D16" s="2"/>
      <c r="E16" s="2"/>
      <c r="F16" s="2"/>
      <c r="G16" s="2"/>
    </row>
    <row r="17" spans="1:7" ht="52.7" customHeight="1" x14ac:dyDescent="0.25">
      <c r="A17" s="2" t="s">
        <v>42</v>
      </c>
      <c r="B17" s="2" t="s">
        <v>1</v>
      </c>
      <c r="C17" s="2"/>
      <c r="D17" s="2"/>
      <c r="E17" s="2"/>
      <c r="F17" s="2"/>
      <c r="G17" s="2"/>
    </row>
    <row r="18" spans="1:7" ht="39.6" customHeight="1" x14ac:dyDescent="0.25">
      <c r="A18" s="2" t="s">
        <v>43</v>
      </c>
      <c r="B18" s="5">
        <f>B2/B3*B4</f>
        <v>135.85000000000002</v>
      </c>
      <c r="C18" s="2"/>
      <c r="D18" s="2"/>
      <c r="E18" s="2"/>
      <c r="F18" s="2"/>
      <c r="G18" s="2"/>
    </row>
    <row r="19" spans="1:7" ht="26.45" customHeight="1" x14ac:dyDescent="0.25">
      <c r="A19" s="2" t="s">
        <v>44</v>
      </c>
      <c r="B19" s="5">
        <f>B18/12</f>
        <v>11.320833333333335</v>
      </c>
      <c r="C19" s="2"/>
      <c r="D19" s="2"/>
      <c r="E19" s="2"/>
      <c r="F19" s="2"/>
      <c r="G19" s="2"/>
    </row>
    <row r="20" spans="1:7" ht="15" customHeight="1" x14ac:dyDescent="0.25">
      <c r="A20" s="2"/>
      <c r="B20" s="2"/>
      <c r="C20" s="2"/>
      <c r="D20" s="2"/>
      <c r="E20" s="2"/>
      <c r="F20" s="2"/>
      <c r="G20" s="2"/>
    </row>
    <row r="21" spans="1:7" ht="15" customHeight="1" x14ac:dyDescent="0.25">
      <c r="A21" s="2"/>
      <c r="B21" s="2"/>
      <c r="C21" s="2"/>
      <c r="D21" s="2"/>
      <c r="E21" s="2"/>
      <c r="F21" s="2"/>
      <c r="G21" s="2"/>
    </row>
    <row r="22" spans="1:7" ht="15" customHeight="1" x14ac:dyDescent="0.25">
      <c r="A22" s="2"/>
      <c r="B22" s="2"/>
      <c r="C22" s="2"/>
      <c r="D22" s="2"/>
      <c r="E22" s="2"/>
      <c r="F22" s="2"/>
      <c r="G22" s="2"/>
    </row>
    <row r="23" spans="1:7" ht="15" customHeight="1" x14ac:dyDescent="0.25">
      <c r="A23" s="2"/>
      <c r="B23" s="2"/>
      <c r="C23" s="2"/>
      <c r="D23" s="2"/>
      <c r="E23" s="2"/>
      <c r="F23" s="2"/>
      <c r="G23" s="2"/>
    </row>
    <row r="24" spans="1:7" ht="15" customHeight="1" x14ac:dyDescent="0.25">
      <c r="A24" s="2"/>
      <c r="B24" s="2"/>
      <c r="C24" s="2"/>
      <c r="D24" s="2"/>
      <c r="E24" s="2"/>
      <c r="F24" s="2"/>
      <c r="G24" s="2"/>
    </row>
    <row r="25" spans="1:7" ht="15" customHeight="1" x14ac:dyDescent="0.25">
      <c r="A25" s="2"/>
      <c r="B25" s="2"/>
      <c r="C25" s="2"/>
      <c r="D25" s="2"/>
      <c r="E25" s="2"/>
      <c r="F25" s="2"/>
      <c r="G25" s="2"/>
    </row>
    <row r="26" spans="1:7" ht="15" customHeight="1" x14ac:dyDescent="0.25">
      <c r="A26" s="2"/>
      <c r="B26" s="2"/>
      <c r="C26" s="2"/>
      <c r="D26" s="2"/>
      <c r="E26" s="2"/>
      <c r="F26" s="2"/>
      <c r="G26" s="2"/>
    </row>
    <row r="27" spans="1:7" ht="15" customHeight="1" x14ac:dyDescent="0.25">
      <c r="A27" s="2"/>
      <c r="B27" s="2"/>
      <c r="C27" s="2"/>
      <c r="D27" s="2"/>
      <c r="E27" s="2"/>
      <c r="F27" s="2"/>
      <c r="G27" s="2"/>
    </row>
    <row r="28" spans="1:7" ht="15" customHeight="1" x14ac:dyDescent="0.25">
      <c r="A28" s="2"/>
      <c r="B28" s="2"/>
      <c r="C28" s="2"/>
      <c r="D28" s="2"/>
      <c r="E28" s="2"/>
      <c r="F28" s="2"/>
      <c r="G28" s="2"/>
    </row>
    <row r="29" spans="1:7" ht="15" customHeight="1" x14ac:dyDescent="0.25">
      <c r="A29" s="2"/>
      <c r="B29" s="2"/>
      <c r="C29" s="2"/>
      <c r="D29" s="2"/>
      <c r="E29" s="2"/>
      <c r="F29" s="2"/>
      <c r="G29" s="2"/>
    </row>
    <row r="30" spans="1:7" ht="15" customHeight="1" x14ac:dyDescent="0.25">
      <c r="A30" s="2"/>
      <c r="B30" s="2"/>
      <c r="C30" s="2"/>
      <c r="D30" s="2"/>
      <c r="E30" s="2"/>
      <c r="F30" s="2"/>
      <c r="G30" s="2"/>
    </row>
    <row r="31" spans="1:7" ht="15" customHeight="1" x14ac:dyDescent="0.25">
      <c r="A31" s="2"/>
      <c r="B31" s="2"/>
      <c r="C31" s="2"/>
      <c r="D31" s="2"/>
      <c r="E31" s="2"/>
      <c r="F31" s="2"/>
      <c r="G31" s="2"/>
    </row>
    <row r="32" spans="1:7" ht="15" customHeight="1" x14ac:dyDescent="0.25">
      <c r="A32" s="2"/>
      <c r="B32" s="2"/>
      <c r="C32" s="2"/>
      <c r="D32" s="2"/>
      <c r="E32" s="2"/>
      <c r="F32" s="2"/>
      <c r="G32" s="2"/>
    </row>
    <row r="33" spans="1:7" ht="15" customHeight="1" x14ac:dyDescent="0.25">
      <c r="A33" s="2"/>
      <c r="B33" s="2"/>
      <c r="C33" s="2"/>
      <c r="D33" s="2"/>
      <c r="E33" s="2"/>
      <c r="F33" s="2"/>
      <c r="G33" s="2"/>
    </row>
    <row r="34" spans="1:7" ht="15" customHeight="1" x14ac:dyDescent="0.25">
      <c r="A34" s="2"/>
      <c r="B34" s="2"/>
      <c r="C34" s="2"/>
      <c r="D34" s="2"/>
      <c r="E34" s="2"/>
      <c r="F34" s="2"/>
      <c r="G34" s="2"/>
    </row>
    <row r="35" spans="1:7" ht="15" customHeight="1" x14ac:dyDescent="0.25">
      <c r="A35" s="2"/>
      <c r="B35" s="2"/>
      <c r="C35" s="2"/>
      <c r="D35" s="2"/>
      <c r="E35" s="2"/>
      <c r="F35" s="2"/>
      <c r="G35" s="2"/>
    </row>
    <row r="36" spans="1:7" ht="15" customHeight="1" x14ac:dyDescent="0.25">
      <c r="A36" s="2"/>
      <c r="B36" s="2"/>
      <c r="C36" s="2"/>
      <c r="D36" s="2"/>
      <c r="E36" s="2"/>
      <c r="F36" s="2"/>
      <c r="G36" s="2"/>
    </row>
    <row r="37" spans="1:7" ht="15" customHeight="1" x14ac:dyDescent="0.25">
      <c r="A37" s="2"/>
      <c r="B37" s="2"/>
      <c r="C37" s="2"/>
      <c r="D37" s="2"/>
      <c r="E37" s="2"/>
      <c r="F37" s="2"/>
      <c r="G37" s="2"/>
    </row>
    <row r="38" spans="1:7" ht="15" customHeight="1" x14ac:dyDescent="0.25">
      <c r="A38" s="2"/>
      <c r="B38" s="2"/>
      <c r="C38" s="2"/>
      <c r="D38" s="2"/>
      <c r="E38" s="2"/>
      <c r="F38" s="2"/>
      <c r="G38" s="2"/>
    </row>
    <row r="39" spans="1:7" ht="15" customHeight="1" x14ac:dyDescent="0.25">
      <c r="A39" s="2"/>
      <c r="B39" s="2"/>
      <c r="C39" s="2"/>
      <c r="D39" s="2"/>
      <c r="E39" s="2"/>
      <c r="F39" s="2"/>
      <c r="G39" s="2"/>
    </row>
    <row r="40" spans="1:7" ht="15" customHeight="1" x14ac:dyDescent="0.25">
      <c r="A40" s="2"/>
      <c r="B40" s="2"/>
      <c r="C40" s="2"/>
      <c r="D40" s="2"/>
      <c r="E40" s="2"/>
      <c r="F40" s="2"/>
      <c r="G40" s="2"/>
    </row>
    <row r="41" spans="1:7" ht="15" customHeight="1" x14ac:dyDescent="0.25">
      <c r="A41" s="2"/>
      <c r="B41" s="2"/>
      <c r="C41" s="2"/>
      <c r="D41" s="2"/>
      <c r="E41" s="2"/>
      <c r="F41" s="2"/>
      <c r="G41" s="2"/>
    </row>
    <row r="42" spans="1:7" ht="15" customHeight="1" x14ac:dyDescent="0.25">
      <c r="A42" s="2"/>
      <c r="B42" s="2"/>
      <c r="C42" s="2"/>
      <c r="D42" s="2"/>
      <c r="E42" s="2"/>
      <c r="F42" s="2"/>
      <c r="G42" s="2"/>
    </row>
    <row r="43" spans="1:7" ht="15" customHeight="1" x14ac:dyDescent="0.25">
      <c r="A43" s="2"/>
      <c r="B43" s="2"/>
      <c r="C43" s="2"/>
      <c r="D43" s="2"/>
      <c r="E43" s="2"/>
      <c r="F43" s="2"/>
      <c r="G43" s="2"/>
    </row>
    <row r="44" spans="1:7" ht="15" customHeight="1" x14ac:dyDescent="0.25">
      <c r="A44" s="2"/>
      <c r="B44" s="2"/>
      <c r="C44" s="2"/>
      <c r="D44" s="2"/>
      <c r="E44" s="2"/>
      <c r="F44" s="2"/>
      <c r="G44" s="2"/>
    </row>
    <row r="45" spans="1:7" ht="15" customHeight="1" x14ac:dyDescent="0.25">
      <c r="A45" s="2"/>
      <c r="B45" s="2"/>
      <c r="C45" s="2"/>
      <c r="D45" s="2"/>
      <c r="E45" s="2"/>
      <c r="F45" s="2"/>
      <c r="G45" s="2"/>
    </row>
    <row r="46" spans="1:7" ht="15" customHeight="1" x14ac:dyDescent="0.25">
      <c r="A46" s="2"/>
      <c r="B46" s="2"/>
      <c r="C46" s="2"/>
      <c r="D46" s="2"/>
      <c r="E46" s="2"/>
      <c r="F46" s="2"/>
      <c r="G46" s="2"/>
    </row>
    <row r="47" spans="1:7" ht="15" customHeight="1" x14ac:dyDescent="0.25">
      <c r="A47" s="2"/>
      <c r="B47" s="2"/>
      <c r="C47" s="2"/>
      <c r="D47" s="2"/>
      <c r="E47" s="2"/>
      <c r="F47" s="2"/>
      <c r="G47" s="2"/>
    </row>
    <row r="48" spans="1:7" ht="15" customHeight="1" x14ac:dyDescent="0.25">
      <c r="A48" s="2"/>
      <c r="B48" s="2"/>
      <c r="C48" s="2"/>
      <c r="D48" s="2"/>
      <c r="E48" s="2"/>
      <c r="F48" s="2"/>
      <c r="G48" s="2"/>
    </row>
    <row r="49" spans="1:7" ht="15" customHeight="1" x14ac:dyDescent="0.25">
      <c r="A49" s="2"/>
      <c r="B49" s="2"/>
      <c r="C49" s="2"/>
      <c r="D49" s="2"/>
      <c r="E49" s="2"/>
      <c r="F49" s="2"/>
      <c r="G49" s="2"/>
    </row>
    <row r="50" spans="1:7" ht="15" customHeight="1" x14ac:dyDescent="0.25">
      <c r="A50" s="2"/>
      <c r="B50" s="2"/>
      <c r="C50" s="2"/>
      <c r="D50" s="2"/>
      <c r="E50" s="2"/>
      <c r="F50" s="2"/>
      <c r="G50" s="2"/>
    </row>
    <row r="51" spans="1:7" ht="15" customHeight="1" x14ac:dyDescent="0.25">
      <c r="A51" s="2"/>
      <c r="B51" s="2"/>
      <c r="C51" s="2"/>
      <c r="D51" s="2"/>
      <c r="E51" s="2"/>
      <c r="F51" s="2"/>
      <c r="G51" s="2"/>
    </row>
    <row r="52" spans="1:7" ht="15" customHeight="1" x14ac:dyDescent="0.25">
      <c r="A52" s="2"/>
      <c r="B52" s="2"/>
      <c r="C52" s="2"/>
      <c r="D52" s="2"/>
      <c r="E52" s="2"/>
      <c r="F52" s="2"/>
      <c r="G52" s="2"/>
    </row>
    <row r="53" spans="1:7" ht="15" customHeight="1" x14ac:dyDescent="0.25">
      <c r="A53" s="2"/>
      <c r="B53" s="2"/>
      <c r="C53" s="2"/>
      <c r="D53" s="2"/>
      <c r="E53" s="2"/>
      <c r="F53" s="2"/>
      <c r="G53" s="2"/>
    </row>
    <row r="54" spans="1:7" ht="15" customHeight="1" x14ac:dyDescent="0.25">
      <c r="A54" s="2"/>
      <c r="B54" s="2"/>
      <c r="C54" s="2"/>
      <c r="D54" s="2"/>
      <c r="E54" s="2"/>
      <c r="F54" s="2"/>
      <c r="G54" s="2"/>
    </row>
    <row r="55" spans="1:7" ht="15" customHeight="1" x14ac:dyDescent="0.25">
      <c r="A55" s="2"/>
      <c r="B55" s="2"/>
      <c r="C55" s="2"/>
      <c r="D55" s="2"/>
      <c r="E55" s="2"/>
      <c r="F55" s="2"/>
      <c r="G55" s="2"/>
    </row>
    <row r="56" spans="1:7" ht="15" customHeight="1" x14ac:dyDescent="0.25">
      <c r="A56" s="2"/>
      <c r="B56" s="2"/>
      <c r="C56" s="2"/>
      <c r="D56" s="2"/>
      <c r="E56" s="2"/>
      <c r="F56" s="2"/>
      <c r="G56" s="2"/>
    </row>
    <row r="57" spans="1:7" ht="15" customHeight="1" x14ac:dyDescent="0.25">
      <c r="A57" s="2"/>
      <c r="B57" s="2"/>
      <c r="C57" s="2"/>
      <c r="D57" s="2"/>
      <c r="E57" s="2"/>
      <c r="F57" s="2"/>
      <c r="G57" s="2"/>
    </row>
    <row r="58" spans="1:7" ht="15" customHeight="1" x14ac:dyDescent="0.25">
      <c r="A58" s="2"/>
      <c r="B58" s="2"/>
      <c r="C58" s="2"/>
      <c r="D58" s="2"/>
      <c r="E58" s="2"/>
      <c r="F58" s="2"/>
      <c r="G58" s="2"/>
    </row>
    <row r="59" spans="1:7" ht="15" customHeight="1" x14ac:dyDescent="0.25">
      <c r="A59" s="2"/>
      <c r="B59" s="2"/>
      <c r="C59" s="2"/>
      <c r="D59" s="2"/>
      <c r="E59" s="2"/>
      <c r="F59" s="2"/>
      <c r="G59" s="2"/>
    </row>
    <row r="60" spans="1:7" ht="15" customHeight="1" x14ac:dyDescent="0.25">
      <c r="A60" s="2"/>
      <c r="B60" s="2"/>
      <c r="C60" s="2"/>
      <c r="D60" s="2"/>
      <c r="E60" s="2"/>
      <c r="F60" s="2"/>
      <c r="G60" s="2"/>
    </row>
    <row r="61" spans="1:7" ht="15" customHeight="1" x14ac:dyDescent="0.25">
      <c r="A61" s="2"/>
      <c r="B61" s="2"/>
      <c r="C61" s="2"/>
      <c r="D61" s="2"/>
      <c r="E61" s="2"/>
      <c r="F61" s="2"/>
      <c r="G61" s="2"/>
    </row>
    <row r="62" spans="1:7" ht="15" customHeight="1" x14ac:dyDescent="0.25">
      <c r="A62" s="2"/>
      <c r="B62" s="2"/>
      <c r="C62" s="2"/>
      <c r="D62" s="2"/>
      <c r="E62" s="2"/>
      <c r="F62" s="2"/>
      <c r="G62" s="2"/>
    </row>
    <row r="63" spans="1:7" ht="15" customHeight="1" x14ac:dyDescent="0.25">
      <c r="A63" s="2"/>
      <c r="B63" s="2"/>
      <c r="C63" s="2"/>
      <c r="D63" s="2"/>
      <c r="E63" s="2"/>
      <c r="F63" s="2"/>
      <c r="G63" s="2"/>
    </row>
    <row r="64" spans="1:7" ht="15" customHeight="1" x14ac:dyDescent="0.25">
      <c r="A64" s="2"/>
      <c r="B64" s="2"/>
      <c r="C64" s="2"/>
      <c r="D64" s="2"/>
      <c r="E64" s="2"/>
      <c r="F64" s="2"/>
      <c r="G64" s="2"/>
    </row>
    <row r="65" spans="1:7" ht="15" customHeight="1" x14ac:dyDescent="0.25">
      <c r="A65" s="2"/>
      <c r="B65" s="2"/>
      <c r="C65" s="2"/>
      <c r="D65" s="2"/>
      <c r="E65" s="2"/>
      <c r="F65" s="2"/>
      <c r="G65" s="2"/>
    </row>
    <row r="66" spans="1:7" ht="15" customHeight="1" x14ac:dyDescent="0.25">
      <c r="A66" s="2"/>
      <c r="B66" s="2"/>
      <c r="C66" s="2"/>
      <c r="D66" s="2"/>
      <c r="E66" s="2"/>
      <c r="F66" s="2"/>
      <c r="G66" s="2"/>
    </row>
    <row r="67" spans="1:7" ht="15" customHeight="1" x14ac:dyDescent="0.25">
      <c r="A67" s="2"/>
      <c r="B67" s="2"/>
      <c r="C67" s="2"/>
      <c r="D67" s="2"/>
      <c r="E67" s="2"/>
      <c r="F67" s="2"/>
      <c r="G67" s="2"/>
    </row>
    <row r="68" spans="1:7" ht="15" customHeight="1" x14ac:dyDescent="0.25">
      <c r="A68" s="2"/>
      <c r="B68" s="2"/>
      <c r="C68" s="2"/>
      <c r="D68" s="2"/>
      <c r="E68" s="2"/>
      <c r="F68" s="2"/>
      <c r="G68" s="2"/>
    </row>
    <row r="69" spans="1:7" ht="15" customHeight="1" x14ac:dyDescent="0.25">
      <c r="A69" s="2"/>
      <c r="B69" s="2"/>
      <c r="C69" s="2"/>
      <c r="D69" s="2"/>
      <c r="E69" s="2"/>
      <c r="F69" s="2"/>
      <c r="G69" s="2"/>
    </row>
    <row r="70" spans="1:7" ht="15" customHeight="1" x14ac:dyDescent="0.25">
      <c r="A70" s="2"/>
      <c r="B70" s="2"/>
      <c r="C70" s="2"/>
      <c r="D70" s="2"/>
      <c r="E70" s="2"/>
      <c r="F70" s="2"/>
      <c r="G70" s="2"/>
    </row>
    <row r="71" spans="1:7" ht="15" customHeight="1" x14ac:dyDescent="0.25">
      <c r="A71" s="2"/>
      <c r="B71" s="2"/>
      <c r="C71" s="2"/>
      <c r="D71" s="2"/>
      <c r="E71" s="2"/>
      <c r="F71" s="2"/>
      <c r="G71" s="2"/>
    </row>
    <row r="72" spans="1:7" ht="15" customHeight="1" x14ac:dyDescent="0.25">
      <c r="A72" s="2"/>
      <c r="B72" s="2"/>
      <c r="C72" s="2"/>
      <c r="D72" s="2"/>
      <c r="E72" s="2"/>
      <c r="F72" s="2"/>
      <c r="G72" s="2"/>
    </row>
    <row r="73" spans="1:7" ht="15" customHeight="1" x14ac:dyDescent="0.25">
      <c r="A73" s="2"/>
      <c r="B73" s="2"/>
      <c r="C73" s="2"/>
      <c r="D73" s="2"/>
      <c r="E73" s="2"/>
      <c r="F73" s="2"/>
      <c r="G73" s="2"/>
    </row>
    <row r="74" spans="1:7" ht="15" customHeight="1" x14ac:dyDescent="0.25">
      <c r="A74" s="2"/>
      <c r="B74" s="2"/>
      <c r="C74" s="2"/>
      <c r="D74" s="2"/>
      <c r="E74" s="2"/>
      <c r="F74" s="2"/>
      <c r="G74" s="2"/>
    </row>
    <row r="75" spans="1:7" ht="15" customHeight="1" x14ac:dyDescent="0.25">
      <c r="A75" s="2"/>
      <c r="B75" s="2"/>
      <c r="C75" s="2"/>
      <c r="D75" s="2"/>
      <c r="E75" s="2"/>
      <c r="F75" s="2"/>
      <c r="G75" s="2"/>
    </row>
    <row r="76" spans="1:7" ht="15" customHeight="1" x14ac:dyDescent="0.25">
      <c r="A76" s="2"/>
      <c r="B76" s="2"/>
      <c r="C76" s="2"/>
      <c r="D76" s="2"/>
      <c r="E76" s="2"/>
      <c r="F76" s="2"/>
      <c r="G76" s="2"/>
    </row>
    <row r="77" spans="1:7" ht="15" customHeight="1" x14ac:dyDescent="0.25">
      <c r="A77" s="2"/>
      <c r="B77" s="2"/>
      <c r="C77" s="2"/>
      <c r="D77" s="2"/>
      <c r="E77" s="2"/>
      <c r="F77" s="2"/>
      <c r="G77" s="2"/>
    </row>
    <row r="78" spans="1:7" ht="15" customHeight="1" x14ac:dyDescent="0.25">
      <c r="A78" s="2"/>
      <c r="B78" s="2"/>
      <c r="C78" s="2"/>
      <c r="D78" s="2"/>
      <c r="E78" s="2"/>
      <c r="F78" s="2"/>
      <c r="G78" s="2"/>
    </row>
    <row r="79" spans="1:7" ht="15" customHeight="1" x14ac:dyDescent="0.25">
      <c r="A79" s="2"/>
      <c r="B79" s="2"/>
      <c r="C79" s="2"/>
      <c r="D79" s="2"/>
      <c r="E79" s="2"/>
      <c r="F79" s="2"/>
      <c r="G79" s="2"/>
    </row>
    <row r="80" spans="1:7" ht="15" customHeight="1" x14ac:dyDescent="0.25">
      <c r="A80" s="2"/>
      <c r="B80" s="2"/>
      <c r="C80" s="2"/>
      <c r="D80" s="2"/>
      <c r="E80" s="2"/>
      <c r="F80" s="2"/>
      <c r="G8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"/>
  <sheetViews>
    <sheetView workbookViewId="0"/>
  </sheetViews>
  <sheetFormatPr defaultRowHeight="15" x14ac:dyDescent="0.25"/>
  <cols>
    <col min="1" max="1" width="34" customWidth="1"/>
    <col min="2" max="6" width="20" customWidth="1"/>
    <col min="7" max="7" width="42" customWidth="1"/>
  </cols>
  <sheetData>
    <row r="1" spans="1:7" ht="39.6" customHeigh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ht="52.7" customHeight="1" x14ac:dyDescent="0.25">
      <c r="A2" s="2" t="s">
        <v>52</v>
      </c>
      <c r="B2" s="2" t="s">
        <v>53</v>
      </c>
      <c r="C2" s="2">
        <v>10</v>
      </c>
      <c r="D2" s="2">
        <f>Исходные_данные!$B$5</f>
        <v>550</v>
      </c>
      <c r="E2" s="6">
        <f t="shared" ref="E2:E8" si="0">C2/60*D2</f>
        <v>91.666666666666657</v>
      </c>
      <c r="F2" s="7">
        <f t="shared" ref="F2:F8" si="1">C2/$D$10</f>
        <v>0.22222222222222221</v>
      </c>
      <c r="G2" s="2" t="s">
        <v>54</v>
      </c>
    </row>
    <row r="3" spans="1:7" ht="66" customHeight="1" x14ac:dyDescent="0.25">
      <c r="A3" s="2" t="s">
        <v>55</v>
      </c>
      <c r="B3" s="2" t="s">
        <v>53</v>
      </c>
      <c r="C3" s="2">
        <v>8</v>
      </c>
      <c r="D3" s="2">
        <f>Исходные_данные!$B$5</f>
        <v>550</v>
      </c>
      <c r="E3" s="6">
        <f t="shared" si="0"/>
        <v>73.333333333333329</v>
      </c>
      <c r="F3" s="7">
        <f t="shared" si="1"/>
        <v>0.17777777777777778</v>
      </c>
      <c r="G3" s="2" t="s">
        <v>56</v>
      </c>
    </row>
    <row r="4" spans="1:7" ht="66" customHeight="1" x14ac:dyDescent="0.25">
      <c r="A4" s="2" t="s">
        <v>57</v>
      </c>
      <c r="B4" s="2" t="s">
        <v>53</v>
      </c>
      <c r="C4" s="2">
        <v>10</v>
      </c>
      <c r="D4" s="2">
        <f>Исходные_данные!$B$5</f>
        <v>550</v>
      </c>
      <c r="E4" s="6">
        <f t="shared" si="0"/>
        <v>91.666666666666657</v>
      </c>
      <c r="F4" s="7">
        <f t="shared" si="1"/>
        <v>0.22222222222222221</v>
      </c>
      <c r="G4" s="2" t="s">
        <v>58</v>
      </c>
    </row>
    <row r="5" spans="1:7" ht="66" customHeight="1" x14ac:dyDescent="0.25">
      <c r="A5" s="2" t="s">
        <v>59</v>
      </c>
      <c r="B5" s="2" t="s">
        <v>60</v>
      </c>
      <c r="C5" s="2">
        <v>8</v>
      </c>
      <c r="D5" s="2">
        <f>Исходные_данные!$B$6</f>
        <v>500</v>
      </c>
      <c r="E5" s="6">
        <f t="shared" si="0"/>
        <v>66.666666666666671</v>
      </c>
      <c r="F5" s="7">
        <f t="shared" si="1"/>
        <v>0.17777777777777778</v>
      </c>
      <c r="G5" s="2" t="s">
        <v>61</v>
      </c>
    </row>
    <row r="6" spans="1:7" ht="52.7" customHeight="1" x14ac:dyDescent="0.25">
      <c r="A6" s="2" t="s">
        <v>62</v>
      </c>
      <c r="B6" s="2" t="s">
        <v>60</v>
      </c>
      <c r="C6" s="2">
        <v>4</v>
      </c>
      <c r="D6" s="2">
        <f>Исходные_данные!$B$6</f>
        <v>500</v>
      </c>
      <c r="E6" s="6">
        <f t="shared" si="0"/>
        <v>33.333333333333336</v>
      </c>
      <c r="F6" s="7">
        <f t="shared" si="1"/>
        <v>8.8888888888888892E-2</v>
      </c>
      <c r="G6" s="2" t="s">
        <v>63</v>
      </c>
    </row>
    <row r="7" spans="1:7" ht="52.7" customHeight="1" x14ac:dyDescent="0.25">
      <c r="A7" s="2" t="s">
        <v>64</v>
      </c>
      <c r="B7" s="2" t="s">
        <v>65</v>
      </c>
      <c r="C7" s="2">
        <v>3</v>
      </c>
      <c r="D7" s="2">
        <f>Исходные_данные!$B$7</f>
        <v>900</v>
      </c>
      <c r="E7" s="6">
        <f t="shared" si="0"/>
        <v>45</v>
      </c>
      <c r="F7" s="7">
        <f t="shared" si="1"/>
        <v>6.6666666666666666E-2</v>
      </c>
      <c r="G7" s="2" t="s">
        <v>66</v>
      </c>
    </row>
    <row r="8" spans="1:7" ht="66" customHeight="1" x14ac:dyDescent="0.25">
      <c r="A8" s="2" t="s">
        <v>67</v>
      </c>
      <c r="B8" s="2" t="s">
        <v>68</v>
      </c>
      <c r="C8" s="2">
        <v>2</v>
      </c>
      <c r="D8" s="2">
        <f>Исходные_данные!$B$8</f>
        <v>650</v>
      </c>
      <c r="E8" s="6">
        <f t="shared" si="0"/>
        <v>21.666666666666668</v>
      </c>
      <c r="F8" s="7">
        <f t="shared" si="1"/>
        <v>4.4444444444444446E-2</v>
      </c>
      <c r="G8" s="2" t="s">
        <v>66</v>
      </c>
    </row>
    <row r="9" spans="1:7" ht="15" customHeight="1" x14ac:dyDescent="0.25">
      <c r="A9" s="2"/>
      <c r="B9" s="2"/>
      <c r="C9" s="2"/>
      <c r="D9" s="2"/>
      <c r="E9" s="2"/>
      <c r="F9" s="2"/>
      <c r="G9" s="2"/>
    </row>
    <row r="10" spans="1:7" ht="39.6" customHeight="1" x14ac:dyDescent="0.25">
      <c r="A10" s="2"/>
      <c r="B10" s="2"/>
      <c r="C10" s="2" t="s">
        <v>69</v>
      </c>
      <c r="D10" s="2">
        <f>SUM(C2:C8)</f>
        <v>45</v>
      </c>
      <c r="E10" s="2"/>
      <c r="F10" s="2"/>
      <c r="G10" s="2"/>
    </row>
    <row r="11" spans="1:7" ht="39.6" customHeight="1" x14ac:dyDescent="0.25">
      <c r="A11" s="2"/>
      <c r="B11" s="2"/>
      <c r="C11" s="2" t="s">
        <v>70</v>
      </c>
      <c r="D11" s="8">
        <f>D10/60</f>
        <v>0.75</v>
      </c>
      <c r="E11" s="2"/>
      <c r="F11" s="2"/>
      <c r="G11" s="2"/>
    </row>
    <row r="12" spans="1:7" ht="52.7" customHeight="1" x14ac:dyDescent="0.25">
      <c r="A12" s="2"/>
      <c r="B12" s="2"/>
      <c r="C12" s="2" t="s">
        <v>71</v>
      </c>
      <c r="D12" s="6">
        <f>SUM(E2:E8)</f>
        <v>423.33333333333331</v>
      </c>
      <c r="E12" s="2"/>
      <c r="F12" s="2"/>
      <c r="G12" s="2"/>
    </row>
    <row r="13" spans="1:7" ht="15" customHeight="1" x14ac:dyDescent="0.25">
      <c r="A13" s="2"/>
      <c r="B13" s="2"/>
      <c r="C13" s="2"/>
      <c r="D13" s="2"/>
      <c r="E13" s="2"/>
      <c r="F13" s="2"/>
      <c r="G13" s="2"/>
    </row>
    <row r="14" spans="1:7" ht="15" customHeight="1" x14ac:dyDescent="0.25">
      <c r="A14" s="2"/>
      <c r="B14" s="2"/>
      <c r="C14" s="2"/>
      <c r="D14" s="2"/>
      <c r="E14" s="2"/>
      <c r="F14" s="2"/>
      <c r="G14" s="2"/>
    </row>
    <row r="15" spans="1:7" ht="15" customHeight="1" x14ac:dyDescent="0.25">
      <c r="A15" s="2"/>
      <c r="B15" s="2"/>
      <c r="C15" s="2"/>
      <c r="D15" s="2"/>
      <c r="E15" s="2"/>
      <c r="F15" s="2"/>
      <c r="G15" s="2"/>
    </row>
    <row r="16" spans="1:7" ht="15" customHeight="1" x14ac:dyDescent="0.25">
      <c r="A16" s="2"/>
      <c r="B16" s="2"/>
      <c r="C16" s="2"/>
      <c r="D16" s="2"/>
      <c r="E16" s="2"/>
      <c r="F16" s="2"/>
      <c r="G16" s="2"/>
    </row>
    <row r="17" spans="1:7" ht="15" customHeight="1" x14ac:dyDescent="0.25">
      <c r="A17" s="2"/>
      <c r="B17" s="2"/>
      <c r="C17" s="2"/>
      <c r="D17" s="2"/>
      <c r="E17" s="2"/>
      <c r="F17" s="2"/>
      <c r="G17" s="2"/>
    </row>
    <row r="18" spans="1:7" ht="15" customHeight="1" x14ac:dyDescent="0.25">
      <c r="A18" s="2"/>
      <c r="B18" s="2"/>
      <c r="C18" s="2"/>
      <c r="D18" s="2"/>
      <c r="E18" s="2"/>
      <c r="F18" s="2"/>
      <c r="G18" s="2"/>
    </row>
    <row r="19" spans="1:7" ht="15" customHeight="1" x14ac:dyDescent="0.25">
      <c r="A19" s="2"/>
      <c r="B19" s="2"/>
      <c r="C19" s="2"/>
      <c r="D19" s="2"/>
      <c r="E19" s="2"/>
      <c r="F19" s="2"/>
      <c r="G19" s="2"/>
    </row>
    <row r="20" spans="1:7" ht="15" customHeight="1" x14ac:dyDescent="0.25">
      <c r="A20" s="2"/>
      <c r="B20" s="2"/>
      <c r="C20" s="2"/>
      <c r="D20" s="2"/>
      <c r="E20" s="2"/>
      <c r="F20" s="2"/>
      <c r="G20" s="2"/>
    </row>
    <row r="21" spans="1:7" ht="15" customHeight="1" x14ac:dyDescent="0.25">
      <c r="A21" s="2"/>
      <c r="B21" s="2"/>
      <c r="C21" s="2"/>
      <c r="D21" s="2"/>
      <c r="E21" s="2"/>
      <c r="F21" s="2"/>
      <c r="G21" s="2"/>
    </row>
    <row r="22" spans="1:7" ht="15" customHeight="1" x14ac:dyDescent="0.25">
      <c r="A22" s="2"/>
      <c r="B22" s="2"/>
      <c r="C22" s="2"/>
      <c r="D22" s="2"/>
      <c r="E22" s="2"/>
      <c r="F22" s="2"/>
      <c r="G22" s="2"/>
    </row>
    <row r="23" spans="1:7" ht="15" customHeight="1" x14ac:dyDescent="0.25">
      <c r="A23" s="2"/>
      <c r="B23" s="2"/>
      <c r="C23" s="2"/>
      <c r="D23" s="2"/>
      <c r="E23" s="2"/>
      <c r="F23" s="2"/>
      <c r="G23" s="2"/>
    </row>
    <row r="24" spans="1:7" ht="15" customHeight="1" x14ac:dyDescent="0.25">
      <c r="A24" s="2"/>
      <c r="B24" s="2"/>
      <c r="C24" s="2"/>
      <c r="D24" s="2"/>
      <c r="E24" s="2"/>
      <c r="F24" s="2"/>
      <c r="G24" s="2"/>
    </row>
    <row r="25" spans="1:7" ht="15" customHeight="1" x14ac:dyDescent="0.25">
      <c r="A25" s="2"/>
      <c r="B25" s="2"/>
      <c r="C25" s="2"/>
      <c r="D25" s="2"/>
      <c r="E25" s="2"/>
      <c r="F25" s="2"/>
      <c r="G25" s="2"/>
    </row>
    <row r="26" spans="1:7" ht="15" customHeight="1" x14ac:dyDescent="0.25">
      <c r="A26" s="2"/>
      <c r="B26" s="2"/>
      <c r="C26" s="2"/>
      <c r="D26" s="2"/>
      <c r="E26" s="2"/>
      <c r="F26" s="2"/>
      <c r="G26" s="2"/>
    </row>
    <row r="27" spans="1:7" ht="15" customHeight="1" x14ac:dyDescent="0.25">
      <c r="A27" s="2"/>
      <c r="B27" s="2"/>
      <c r="C27" s="2"/>
      <c r="D27" s="2"/>
      <c r="E27" s="2"/>
      <c r="F27" s="2"/>
      <c r="G27" s="2"/>
    </row>
    <row r="28" spans="1:7" ht="15" customHeight="1" x14ac:dyDescent="0.25">
      <c r="A28" s="2"/>
      <c r="B28" s="2"/>
      <c r="C28" s="2"/>
      <c r="D28" s="2"/>
      <c r="E28" s="2"/>
      <c r="F28" s="2"/>
      <c r="G28" s="2"/>
    </row>
    <row r="29" spans="1:7" ht="15" customHeight="1" x14ac:dyDescent="0.25">
      <c r="A29" s="2"/>
      <c r="B29" s="2"/>
      <c r="C29" s="2"/>
      <c r="D29" s="2"/>
      <c r="E29" s="2"/>
      <c r="F29" s="2"/>
      <c r="G29" s="2"/>
    </row>
    <row r="30" spans="1:7" ht="15" customHeight="1" x14ac:dyDescent="0.25">
      <c r="A30" s="2"/>
      <c r="B30" s="2"/>
      <c r="C30" s="2"/>
      <c r="D30" s="2"/>
      <c r="E30" s="2"/>
      <c r="F30" s="2"/>
      <c r="G30" s="2"/>
    </row>
    <row r="31" spans="1:7" ht="15" customHeight="1" x14ac:dyDescent="0.25">
      <c r="A31" s="2"/>
      <c r="B31" s="2"/>
      <c r="C31" s="2"/>
      <c r="D31" s="2"/>
      <c r="E31" s="2"/>
      <c r="F31" s="2"/>
      <c r="G31" s="2"/>
    </row>
    <row r="32" spans="1:7" ht="15" customHeight="1" x14ac:dyDescent="0.25">
      <c r="A32" s="2"/>
      <c r="B32" s="2"/>
      <c r="C32" s="2"/>
      <c r="D32" s="2"/>
      <c r="E32" s="2"/>
      <c r="F32" s="2"/>
      <c r="G32" s="2"/>
    </row>
    <row r="33" spans="1:7" ht="15" customHeight="1" x14ac:dyDescent="0.25">
      <c r="A33" s="2"/>
      <c r="B33" s="2"/>
      <c r="C33" s="2"/>
      <c r="D33" s="2"/>
      <c r="E33" s="2"/>
      <c r="F33" s="2"/>
      <c r="G33" s="2"/>
    </row>
    <row r="34" spans="1:7" ht="15" customHeight="1" x14ac:dyDescent="0.25">
      <c r="A34" s="2"/>
      <c r="B34" s="2"/>
      <c r="C34" s="2"/>
      <c r="D34" s="2"/>
      <c r="E34" s="2"/>
      <c r="F34" s="2"/>
      <c r="G34" s="2"/>
    </row>
    <row r="35" spans="1:7" ht="15" customHeight="1" x14ac:dyDescent="0.25">
      <c r="A35" s="2"/>
      <c r="B35" s="2"/>
      <c r="C35" s="2"/>
      <c r="D35" s="2"/>
      <c r="E35" s="2"/>
      <c r="F35" s="2"/>
      <c r="G35" s="2"/>
    </row>
    <row r="36" spans="1:7" ht="15" customHeight="1" x14ac:dyDescent="0.25">
      <c r="A36" s="2"/>
      <c r="B36" s="2"/>
      <c r="C36" s="2"/>
      <c r="D36" s="2"/>
      <c r="E36" s="2"/>
      <c r="F36" s="2"/>
      <c r="G36" s="2"/>
    </row>
    <row r="37" spans="1:7" ht="15" customHeight="1" x14ac:dyDescent="0.25">
      <c r="A37" s="2"/>
      <c r="B37" s="2"/>
      <c r="C37" s="2"/>
      <c r="D37" s="2"/>
      <c r="E37" s="2"/>
      <c r="F37" s="2"/>
      <c r="G37" s="2"/>
    </row>
    <row r="38" spans="1:7" ht="15" customHeight="1" x14ac:dyDescent="0.25">
      <c r="A38" s="2"/>
      <c r="B38" s="2"/>
      <c r="C38" s="2"/>
      <c r="D38" s="2"/>
      <c r="E38" s="2"/>
      <c r="F38" s="2"/>
      <c r="G38" s="2"/>
    </row>
    <row r="39" spans="1:7" ht="15" customHeight="1" x14ac:dyDescent="0.25">
      <c r="A39" s="2"/>
      <c r="B39" s="2"/>
      <c r="C39" s="2"/>
      <c r="D39" s="2"/>
      <c r="E39" s="2"/>
      <c r="F39" s="2"/>
      <c r="G39" s="2"/>
    </row>
    <row r="40" spans="1:7" ht="15" customHeight="1" x14ac:dyDescent="0.25">
      <c r="A40" s="2"/>
      <c r="B40" s="2"/>
      <c r="C40" s="2"/>
      <c r="D40" s="2"/>
      <c r="E40" s="2"/>
      <c r="F40" s="2"/>
      <c r="G40" s="2"/>
    </row>
    <row r="41" spans="1:7" ht="15" customHeight="1" x14ac:dyDescent="0.25">
      <c r="A41" s="2"/>
      <c r="B41" s="2"/>
      <c r="C41" s="2"/>
      <c r="D41" s="2"/>
      <c r="E41" s="2"/>
      <c r="F41" s="2"/>
      <c r="G41" s="2"/>
    </row>
    <row r="42" spans="1:7" ht="15" customHeight="1" x14ac:dyDescent="0.25">
      <c r="A42" s="2"/>
      <c r="B42" s="2"/>
      <c r="C42" s="2"/>
      <c r="D42" s="2"/>
      <c r="E42" s="2"/>
      <c r="F42" s="2"/>
      <c r="G42" s="2"/>
    </row>
    <row r="43" spans="1:7" ht="15" customHeight="1" x14ac:dyDescent="0.25">
      <c r="A43" s="2"/>
      <c r="B43" s="2"/>
      <c r="C43" s="2"/>
      <c r="D43" s="2"/>
      <c r="E43" s="2"/>
      <c r="F43" s="2"/>
      <c r="G43" s="2"/>
    </row>
    <row r="44" spans="1:7" ht="15" customHeight="1" x14ac:dyDescent="0.25">
      <c r="A44" s="2"/>
      <c r="B44" s="2"/>
      <c r="C44" s="2"/>
      <c r="D44" s="2"/>
      <c r="E44" s="2"/>
      <c r="F44" s="2"/>
      <c r="G44" s="2"/>
    </row>
    <row r="45" spans="1:7" ht="15" customHeight="1" x14ac:dyDescent="0.25">
      <c r="A45" s="2"/>
      <c r="B45" s="2"/>
      <c r="C45" s="2"/>
      <c r="D45" s="2"/>
      <c r="E45" s="2"/>
      <c r="F45" s="2"/>
      <c r="G45" s="2"/>
    </row>
    <row r="46" spans="1:7" ht="15" customHeight="1" x14ac:dyDescent="0.25">
      <c r="A46" s="2"/>
      <c r="B46" s="2"/>
      <c r="C46" s="2"/>
      <c r="D46" s="2"/>
      <c r="E46" s="2"/>
      <c r="F46" s="2"/>
      <c r="G46" s="2"/>
    </row>
    <row r="47" spans="1:7" ht="15" customHeight="1" x14ac:dyDescent="0.25">
      <c r="A47" s="2"/>
      <c r="B47" s="2"/>
      <c r="C47" s="2"/>
      <c r="D47" s="2"/>
      <c r="E47" s="2"/>
      <c r="F47" s="2"/>
      <c r="G47" s="2"/>
    </row>
    <row r="48" spans="1:7" ht="15" customHeight="1" x14ac:dyDescent="0.25">
      <c r="A48" s="2"/>
      <c r="B48" s="2"/>
      <c r="C48" s="2"/>
      <c r="D48" s="2"/>
      <c r="E48" s="2"/>
      <c r="F48" s="2"/>
      <c r="G48" s="2"/>
    </row>
    <row r="49" spans="1:7" ht="15" customHeight="1" x14ac:dyDescent="0.25">
      <c r="A49" s="2"/>
      <c r="B49" s="2"/>
      <c r="C49" s="2"/>
      <c r="D49" s="2"/>
      <c r="E49" s="2"/>
      <c r="F49" s="2"/>
      <c r="G49" s="2"/>
    </row>
    <row r="50" spans="1:7" ht="15" customHeight="1" x14ac:dyDescent="0.25">
      <c r="A50" s="2"/>
      <c r="B50" s="2"/>
      <c r="C50" s="2"/>
      <c r="D50" s="2"/>
      <c r="E50" s="2"/>
      <c r="F50" s="2"/>
      <c r="G50" s="2"/>
    </row>
    <row r="51" spans="1:7" ht="15" customHeight="1" x14ac:dyDescent="0.25">
      <c r="A51" s="2"/>
      <c r="B51" s="2"/>
      <c r="C51" s="2"/>
      <c r="D51" s="2"/>
      <c r="E51" s="2"/>
      <c r="F51" s="2"/>
      <c r="G51" s="2"/>
    </row>
    <row r="52" spans="1:7" ht="15" customHeight="1" x14ac:dyDescent="0.25">
      <c r="A52" s="2"/>
      <c r="B52" s="2"/>
      <c r="C52" s="2"/>
      <c r="D52" s="2"/>
      <c r="E52" s="2"/>
      <c r="F52" s="2"/>
      <c r="G52" s="2"/>
    </row>
    <row r="53" spans="1:7" ht="15" customHeight="1" x14ac:dyDescent="0.25">
      <c r="A53" s="2"/>
      <c r="B53" s="2"/>
      <c r="C53" s="2"/>
      <c r="D53" s="2"/>
      <c r="E53" s="2"/>
      <c r="F53" s="2"/>
      <c r="G53" s="2"/>
    </row>
    <row r="54" spans="1:7" ht="15" customHeight="1" x14ac:dyDescent="0.25">
      <c r="A54" s="2"/>
      <c r="B54" s="2"/>
      <c r="C54" s="2"/>
      <c r="D54" s="2"/>
      <c r="E54" s="2"/>
      <c r="F54" s="2"/>
      <c r="G54" s="2"/>
    </row>
    <row r="55" spans="1:7" ht="15" customHeight="1" x14ac:dyDescent="0.25">
      <c r="A55" s="2"/>
      <c r="B55" s="2"/>
      <c r="C55" s="2"/>
      <c r="D55" s="2"/>
      <c r="E55" s="2"/>
      <c r="F55" s="2"/>
      <c r="G55" s="2"/>
    </row>
    <row r="56" spans="1:7" ht="15" customHeight="1" x14ac:dyDescent="0.25">
      <c r="A56" s="2"/>
      <c r="B56" s="2"/>
      <c r="C56" s="2"/>
      <c r="D56" s="2"/>
      <c r="E56" s="2"/>
      <c r="F56" s="2"/>
      <c r="G56" s="2"/>
    </row>
    <row r="57" spans="1:7" ht="15" customHeight="1" x14ac:dyDescent="0.25">
      <c r="A57" s="2"/>
      <c r="B57" s="2"/>
      <c r="C57" s="2"/>
      <c r="D57" s="2"/>
      <c r="E57" s="2"/>
      <c r="F57" s="2"/>
      <c r="G57" s="2"/>
    </row>
    <row r="58" spans="1:7" ht="15" customHeight="1" x14ac:dyDescent="0.25">
      <c r="A58" s="2"/>
      <c r="B58" s="2"/>
      <c r="C58" s="2"/>
      <c r="D58" s="2"/>
      <c r="E58" s="2"/>
      <c r="F58" s="2"/>
      <c r="G58" s="2"/>
    </row>
    <row r="59" spans="1:7" ht="15" customHeight="1" x14ac:dyDescent="0.25">
      <c r="A59" s="2"/>
      <c r="B59" s="2"/>
      <c r="C59" s="2"/>
      <c r="D59" s="2"/>
      <c r="E59" s="2"/>
      <c r="F59" s="2"/>
      <c r="G59" s="2"/>
    </row>
    <row r="60" spans="1:7" ht="15" customHeight="1" x14ac:dyDescent="0.25">
      <c r="A60" s="2"/>
      <c r="B60" s="2"/>
      <c r="C60" s="2"/>
      <c r="D60" s="2"/>
      <c r="E60" s="2"/>
      <c r="F60" s="2"/>
      <c r="G60" s="2"/>
    </row>
    <row r="61" spans="1:7" ht="15" customHeight="1" x14ac:dyDescent="0.25">
      <c r="A61" s="2"/>
      <c r="B61" s="2"/>
      <c r="C61" s="2"/>
      <c r="D61" s="2"/>
      <c r="E61" s="2"/>
      <c r="F61" s="2"/>
      <c r="G61" s="2"/>
    </row>
    <row r="62" spans="1:7" ht="15" customHeight="1" x14ac:dyDescent="0.25">
      <c r="A62" s="2"/>
      <c r="B62" s="2"/>
      <c r="C62" s="2"/>
      <c r="D62" s="2"/>
      <c r="E62" s="2"/>
      <c r="F62" s="2"/>
      <c r="G62" s="2"/>
    </row>
    <row r="63" spans="1:7" ht="15" customHeight="1" x14ac:dyDescent="0.25">
      <c r="A63" s="2"/>
      <c r="B63" s="2"/>
      <c r="C63" s="2"/>
      <c r="D63" s="2"/>
      <c r="E63" s="2"/>
      <c r="F63" s="2"/>
      <c r="G63" s="2"/>
    </row>
    <row r="64" spans="1:7" ht="15" customHeight="1" x14ac:dyDescent="0.25">
      <c r="A64" s="2"/>
      <c r="B64" s="2"/>
      <c r="C64" s="2"/>
      <c r="D64" s="2"/>
      <c r="E64" s="2"/>
      <c r="F64" s="2"/>
      <c r="G64" s="2"/>
    </row>
    <row r="65" spans="1:7" ht="15" customHeight="1" x14ac:dyDescent="0.25">
      <c r="A65" s="2"/>
      <c r="B65" s="2"/>
      <c r="C65" s="2"/>
      <c r="D65" s="2"/>
      <c r="E65" s="2"/>
      <c r="F65" s="2"/>
      <c r="G65" s="2"/>
    </row>
    <row r="66" spans="1:7" ht="15" customHeight="1" x14ac:dyDescent="0.25">
      <c r="A66" s="2"/>
      <c r="B66" s="2"/>
      <c r="C66" s="2"/>
      <c r="D66" s="2"/>
      <c r="E66" s="2"/>
      <c r="F66" s="2"/>
      <c r="G66" s="2"/>
    </row>
    <row r="67" spans="1:7" ht="15" customHeight="1" x14ac:dyDescent="0.25">
      <c r="A67" s="2"/>
      <c r="B67" s="2"/>
      <c r="C67" s="2"/>
      <c r="D67" s="2"/>
      <c r="E67" s="2"/>
      <c r="F67" s="2"/>
      <c r="G67" s="2"/>
    </row>
    <row r="68" spans="1:7" ht="15" customHeight="1" x14ac:dyDescent="0.25">
      <c r="A68" s="2"/>
      <c r="B68" s="2"/>
      <c r="C68" s="2"/>
      <c r="D68" s="2"/>
      <c r="E68" s="2"/>
      <c r="F68" s="2"/>
      <c r="G68" s="2"/>
    </row>
    <row r="69" spans="1:7" ht="15" customHeight="1" x14ac:dyDescent="0.25">
      <c r="A69" s="2"/>
      <c r="B69" s="2"/>
      <c r="C69" s="2"/>
      <c r="D69" s="2"/>
      <c r="E69" s="2"/>
      <c r="F69" s="2"/>
      <c r="G69" s="2"/>
    </row>
    <row r="70" spans="1:7" ht="15" customHeight="1" x14ac:dyDescent="0.25">
      <c r="A70" s="2"/>
      <c r="B70" s="2"/>
      <c r="C70" s="2"/>
      <c r="D70" s="2"/>
      <c r="E70" s="2"/>
      <c r="F70" s="2"/>
      <c r="G70" s="2"/>
    </row>
    <row r="71" spans="1:7" ht="15" customHeight="1" x14ac:dyDescent="0.25">
      <c r="A71" s="2"/>
      <c r="B71" s="2"/>
      <c r="C71" s="2"/>
      <c r="D71" s="2"/>
      <c r="E71" s="2"/>
      <c r="F71" s="2"/>
      <c r="G71" s="2"/>
    </row>
    <row r="72" spans="1:7" ht="15" customHeight="1" x14ac:dyDescent="0.25">
      <c r="A72" s="2"/>
      <c r="B72" s="2"/>
      <c r="C72" s="2"/>
      <c r="D72" s="2"/>
      <c r="E72" s="2"/>
      <c r="F72" s="2"/>
      <c r="G72" s="2"/>
    </row>
    <row r="73" spans="1:7" ht="15" customHeight="1" x14ac:dyDescent="0.25">
      <c r="A73" s="2"/>
      <c r="B73" s="2"/>
      <c r="C73" s="2"/>
      <c r="D73" s="2"/>
      <c r="E73" s="2"/>
      <c r="F73" s="2"/>
      <c r="G73" s="2"/>
    </row>
    <row r="74" spans="1:7" ht="15" customHeight="1" x14ac:dyDescent="0.25">
      <c r="A74" s="2"/>
      <c r="B74" s="2"/>
      <c r="C74" s="2"/>
      <c r="D74" s="2"/>
      <c r="E74" s="2"/>
      <c r="F74" s="2"/>
      <c r="G74" s="2"/>
    </row>
    <row r="75" spans="1:7" ht="15" customHeight="1" x14ac:dyDescent="0.25">
      <c r="A75" s="2"/>
      <c r="B75" s="2"/>
      <c r="C75" s="2"/>
      <c r="D75" s="2"/>
      <c r="E75" s="2"/>
      <c r="F75" s="2"/>
      <c r="G75" s="2"/>
    </row>
    <row r="76" spans="1:7" ht="15" customHeight="1" x14ac:dyDescent="0.25">
      <c r="A76" s="2"/>
      <c r="B76" s="2"/>
      <c r="C76" s="2"/>
      <c r="D76" s="2"/>
      <c r="E76" s="2"/>
      <c r="F76" s="2"/>
      <c r="G76" s="2"/>
    </row>
    <row r="77" spans="1:7" ht="15" customHeight="1" x14ac:dyDescent="0.25">
      <c r="A77" s="2"/>
      <c r="B77" s="2"/>
      <c r="C77" s="2"/>
      <c r="D77" s="2"/>
      <c r="E77" s="2"/>
      <c r="F77" s="2"/>
      <c r="G77" s="2"/>
    </row>
    <row r="78" spans="1:7" ht="15" customHeight="1" x14ac:dyDescent="0.25">
      <c r="A78" s="2"/>
      <c r="B78" s="2"/>
      <c r="C78" s="2"/>
      <c r="D78" s="2"/>
      <c r="E78" s="2"/>
      <c r="F78" s="2"/>
      <c r="G78" s="2"/>
    </row>
    <row r="79" spans="1:7" ht="15" customHeight="1" x14ac:dyDescent="0.25">
      <c r="A79" s="2"/>
      <c r="B79" s="2"/>
      <c r="C79" s="2"/>
      <c r="D79" s="2"/>
      <c r="E79" s="2"/>
      <c r="F79" s="2"/>
      <c r="G79" s="2"/>
    </row>
    <row r="80" spans="1:7" ht="15" customHeight="1" x14ac:dyDescent="0.25">
      <c r="A80" s="2"/>
      <c r="B80" s="2"/>
      <c r="C80" s="2"/>
      <c r="D80" s="2"/>
      <c r="E80" s="2"/>
      <c r="F80" s="2"/>
      <c r="G8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workbookViewId="0"/>
  </sheetViews>
  <sheetFormatPr defaultRowHeight="15" x14ac:dyDescent="0.25"/>
  <cols>
    <col min="1" max="1" width="34" customWidth="1"/>
    <col min="2" max="6" width="20" customWidth="1"/>
    <col min="7" max="7" width="42" customWidth="1"/>
  </cols>
  <sheetData>
    <row r="1" spans="1:7" ht="39.6" customHeigh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ht="66" customHeight="1" x14ac:dyDescent="0.25">
      <c r="A2" s="2" t="s">
        <v>72</v>
      </c>
      <c r="B2" s="2" t="s">
        <v>53</v>
      </c>
      <c r="C2" s="2">
        <v>10</v>
      </c>
      <c r="D2" s="2">
        <f>Исходные_данные!$B$5</f>
        <v>550</v>
      </c>
      <c r="E2" s="6">
        <f t="shared" ref="E2:E7" si="0">C2/60*D2</f>
        <v>91.666666666666657</v>
      </c>
      <c r="F2" s="7">
        <f t="shared" ref="F2:F7" si="1">C2/$D$9</f>
        <v>0.66666666666666663</v>
      </c>
      <c r="G2" s="2" t="s">
        <v>73</v>
      </c>
    </row>
    <row r="3" spans="1:7" ht="66" customHeight="1" x14ac:dyDescent="0.25">
      <c r="A3" s="2" t="s">
        <v>74</v>
      </c>
      <c r="B3" s="2" t="s">
        <v>53</v>
      </c>
      <c r="C3" s="2">
        <v>0.5</v>
      </c>
      <c r="D3" s="2">
        <f>Исходные_данные!$B$5</f>
        <v>550</v>
      </c>
      <c r="E3" s="6">
        <f t="shared" si="0"/>
        <v>4.583333333333333</v>
      </c>
      <c r="F3" s="7">
        <f t="shared" si="1"/>
        <v>3.3333333333333333E-2</v>
      </c>
      <c r="G3" s="2" t="s">
        <v>75</v>
      </c>
    </row>
    <row r="4" spans="1:7" ht="79.150000000000006" customHeight="1" x14ac:dyDescent="0.25">
      <c r="A4" s="2" t="s">
        <v>76</v>
      </c>
      <c r="B4" s="2" t="s">
        <v>53</v>
      </c>
      <c r="C4" s="2">
        <v>0.5</v>
      </c>
      <c r="D4" s="2">
        <f>Исходные_данные!$B$5</f>
        <v>550</v>
      </c>
      <c r="E4" s="6">
        <f t="shared" si="0"/>
        <v>4.583333333333333</v>
      </c>
      <c r="F4" s="7">
        <f t="shared" si="1"/>
        <v>3.3333333333333333E-2</v>
      </c>
      <c r="G4" s="2" t="s">
        <v>77</v>
      </c>
    </row>
    <row r="5" spans="1:7" ht="52.7" customHeight="1" x14ac:dyDescent="0.25">
      <c r="A5" s="2" t="s">
        <v>78</v>
      </c>
      <c r="B5" s="2" t="s">
        <v>60</v>
      </c>
      <c r="C5" s="2">
        <v>2</v>
      </c>
      <c r="D5" s="2">
        <f>Исходные_данные!$B$6</f>
        <v>500</v>
      </c>
      <c r="E5" s="6">
        <f t="shared" si="0"/>
        <v>16.666666666666668</v>
      </c>
      <c r="F5" s="7">
        <f t="shared" si="1"/>
        <v>0.13333333333333333</v>
      </c>
      <c r="G5" s="2" t="s">
        <v>79</v>
      </c>
    </row>
    <row r="6" spans="1:7" ht="39.6" customHeight="1" x14ac:dyDescent="0.25">
      <c r="A6" s="2" t="s">
        <v>80</v>
      </c>
      <c r="B6" s="2" t="s">
        <v>65</v>
      </c>
      <c r="C6" s="2">
        <v>1</v>
      </c>
      <c r="D6" s="2">
        <f>Исходные_данные!$B$7</f>
        <v>900</v>
      </c>
      <c r="E6" s="6">
        <f t="shared" si="0"/>
        <v>15</v>
      </c>
      <c r="F6" s="7">
        <f t="shared" si="1"/>
        <v>6.6666666666666666E-2</v>
      </c>
      <c r="G6" s="2" t="s">
        <v>81</v>
      </c>
    </row>
    <row r="7" spans="1:7" ht="66" customHeight="1" x14ac:dyDescent="0.25">
      <c r="A7" s="2" t="s">
        <v>82</v>
      </c>
      <c r="B7" s="2" t="s">
        <v>68</v>
      </c>
      <c r="C7" s="2">
        <v>1</v>
      </c>
      <c r="D7" s="2">
        <f>Исходные_данные!$B$8</f>
        <v>650</v>
      </c>
      <c r="E7" s="6">
        <f t="shared" si="0"/>
        <v>10.833333333333334</v>
      </c>
      <c r="F7" s="7">
        <f t="shared" si="1"/>
        <v>6.6666666666666666E-2</v>
      </c>
      <c r="G7" s="2" t="s">
        <v>83</v>
      </c>
    </row>
    <row r="8" spans="1:7" ht="15" customHeight="1" x14ac:dyDescent="0.25">
      <c r="A8" s="2"/>
      <c r="B8" s="2"/>
      <c r="C8" s="2"/>
      <c r="D8" s="2"/>
      <c r="E8" s="2"/>
      <c r="F8" s="2"/>
      <c r="G8" s="2"/>
    </row>
    <row r="9" spans="1:7" ht="39.6" customHeight="1" x14ac:dyDescent="0.25">
      <c r="A9" s="2"/>
      <c r="B9" s="2"/>
      <c r="C9" s="2" t="s">
        <v>69</v>
      </c>
      <c r="D9" s="2">
        <f>SUM(C2:C7)</f>
        <v>15</v>
      </c>
      <c r="E9" s="2"/>
      <c r="F9" s="2"/>
      <c r="G9" s="2"/>
    </row>
    <row r="10" spans="1:7" ht="39.6" customHeight="1" x14ac:dyDescent="0.25">
      <c r="A10" s="2"/>
      <c r="B10" s="2"/>
      <c r="C10" s="2" t="s">
        <v>70</v>
      </c>
      <c r="D10" s="8">
        <f>D9/60</f>
        <v>0.25</v>
      </c>
      <c r="E10" s="2"/>
      <c r="F10" s="2"/>
      <c r="G10" s="2"/>
    </row>
    <row r="11" spans="1:7" ht="52.7" customHeight="1" x14ac:dyDescent="0.25">
      <c r="A11" s="2"/>
      <c r="B11" s="2"/>
      <c r="C11" s="2" t="s">
        <v>71</v>
      </c>
      <c r="D11" s="6">
        <f>SUM(E2:E7)</f>
        <v>143.33333333333334</v>
      </c>
      <c r="E11" s="2"/>
      <c r="F11" s="2"/>
      <c r="G11" s="2"/>
    </row>
    <row r="12" spans="1:7" ht="15" customHeight="1" x14ac:dyDescent="0.25">
      <c r="A12" s="2"/>
      <c r="B12" s="2"/>
      <c r="C12" s="2"/>
      <c r="D12" s="2"/>
      <c r="E12" s="2"/>
      <c r="F12" s="2"/>
      <c r="G12" s="2"/>
    </row>
    <row r="13" spans="1:7" ht="15" customHeight="1" x14ac:dyDescent="0.25">
      <c r="A13" s="2"/>
      <c r="B13" s="2"/>
      <c r="C13" s="2"/>
      <c r="D13" s="2"/>
      <c r="E13" s="2"/>
      <c r="F13" s="2"/>
      <c r="G13" s="2"/>
    </row>
    <row r="14" spans="1:7" ht="15" customHeight="1" x14ac:dyDescent="0.25">
      <c r="A14" s="2"/>
      <c r="B14" s="2"/>
      <c r="C14" s="2"/>
      <c r="D14" s="2"/>
      <c r="E14" s="2"/>
      <c r="F14" s="2"/>
      <c r="G14" s="2"/>
    </row>
    <row r="15" spans="1:7" ht="15" customHeight="1" x14ac:dyDescent="0.25">
      <c r="A15" s="2"/>
      <c r="B15" s="2"/>
      <c r="C15" s="2"/>
      <c r="D15" s="2"/>
      <c r="E15" s="2"/>
      <c r="F15" s="2"/>
      <c r="G15" s="2"/>
    </row>
    <row r="16" spans="1:7" ht="15" customHeight="1" x14ac:dyDescent="0.25">
      <c r="A16" s="2"/>
      <c r="B16" s="2"/>
      <c r="C16" s="2"/>
      <c r="D16" s="2"/>
      <c r="E16" s="2"/>
      <c r="F16" s="2"/>
      <c r="G16" s="2"/>
    </row>
    <row r="17" spans="1:7" ht="15" customHeight="1" x14ac:dyDescent="0.25">
      <c r="A17" s="2"/>
      <c r="B17" s="2"/>
      <c r="C17" s="2"/>
      <c r="D17" s="2"/>
      <c r="E17" s="2"/>
      <c r="F17" s="2"/>
      <c r="G17" s="2"/>
    </row>
    <row r="18" spans="1:7" ht="15" customHeight="1" x14ac:dyDescent="0.25">
      <c r="A18" s="2"/>
      <c r="B18" s="2"/>
      <c r="C18" s="2"/>
      <c r="D18" s="2"/>
      <c r="E18" s="2"/>
      <c r="F18" s="2"/>
      <c r="G18" s="2"/>
    </row>
    <row r="19" spans="1:7" ht="15" customHeight="1" x14ac:dyDescent="0.25">
      <c r="A19" s="2"/>
      <c r="B19" s="2"/>
      <c r="C19" s="2"/>
      <c r="D19" s="2"/>
      <c r="E19" s="2"/>
      <c r="F19" s="2"/>
      <c r="G19" s="2"/>
    </row>
    <row r="20" spans="1:7" ht="15" customHeight="1" x14ac:dyDescent="0.25">
      <c r="A20" s="2"/>
      <c r="B20" s="2"/>
      <c r="C20" s="2"/>
      <c r="D20" s="2"/>
      <c r="E20" s="2"/>
      <c r="F20" s="2"/>
      <c r="G20" s="2"/>
    </row>
    <row r="21" spans="1:7" ht="15" customHeight="1" x14ac:dyDescent="0.25">
      <c r="A21" s="2"/>
      <c r="B21" s="2"/>
      <c r="C21" s="2"/>
      <c r="D21" s="2"/>
      <c r="E21" s="2"/>
      <c r="F21" s="2"/>
      <c r="G21" s="2"/>
    </row>
    <row r="22" spans="1:7" ht="15" customHeight="1" x14ac:dyDescent="0.25">
      <c r="A22" s="2"/>
      <c r="B22" s="2"/>
      <c r="C22" s="2"/>
      <c r="D22" s="2"/>
      <c r="E22" s="2"/>
      <c r="F22" s="2"/>
      <c r="G22" s="2"/>
    </row>
    <row r="23" spans="1:7" ht="15" customHeight="1" x14ac:dyDescent="0.25">
      <c r="A23" s="2"/>
      <c r="B23" s="2"/>
      <c r="C23" s="2"/>
      <c r="D23" s="2"/>
      <c r="E23" s="2"/>
      <c r="F23" s="2"/>
      <c r="G23" s="2"/>
    </row>
    <row r="24" spans="1:7" ht="15" customHeight="1" x14ac:dyDescent="0.25">
      <c r="A24" s="2"/>
      <c r="B24" s="2"/>
      <c r="C24" s="2"/>
      <c r="D24" s="2"/>
      <c r="E24" s="2"/>
      <c r="F24" s="2"/>
      <c r="G24" s="2"/>
    </row>
    <row r="25" spans="1:7" ht="15" customHeight="1" x14ac:dyDescent="0.25">
      <c r="A25" s="2"/>
      <c r="B25" s="2"/>
      <c r="C25" s="2"/>
      <c r="D25" s="2"/>
      <c r="E25" s="2"/>
      <c r="F25" s="2"/>
      <c r="G25" s="2"/>
    </row>
    <row r="26" spans="1:7" ht="15" customHeight="1" x14ac:dyDescent="0.25">
      <c r="A26" s="2"/>
      <c r="B26" s="2"/>
      <c r="C26" s="2"/>
      <c r="D26" s="2"/>
      <c r="E26" s="2"/>
      <c r="F26" s="2"/>
      <c r="G26" s="2"/>
    </row>
    <row r="27" spans="1:7" ht="15" customHeight="1" x14ac:dyDescent="0.25">
      <c r="A27" s="2"/>
      <c r="B27" s="2"/>
      <c r="C27" s="2"/>
      <c r="D27" s="2"/>
      <c r="E27" s="2"/>
      <c r="F27" s="2"/>
      <c r="G27" s="2"/>
    </row>
    <row r="28" spans="1:7" ht="15" customHeight="1" x14ac:dyDescent="0.25">
      <c r="A28" s="2"/>
      <c r="B28" s="2"/>
      <c r="C28" s="2"/>
      <c r="D28" s="2"/>
      <c r="E28" s="2"/>
      <c r="F28" s="2"/>
      <c r="G28" s="2"/>
    </row>
    <row r="29" spans="1:7" ht="15" customHeight="1" x14ac:dyDescent="0.25">
      <c r="A29" s="2"/>
      <c r="B29" s="2"/>
      <c r="C29" s="2"/>
      <c r="D29" s="2"/>
      <c r="E29" s="2"/>
      <c r="F29" s="2"/>
      <c r="G29" s="2"/>
    </row>
    <row r="30" spans="1:7" ht="15" customHeight="1" x14ac:dyDescent="0.25">
      <c r="A30" s="2"/>
      <c r="B30" s="2"/>
      <c r="C30" s="2"/>
      <c r="D30" s="2"/>
      <c r="E30" s="2"/>
      <c r="F30" s="2"/>
      <c r="G30" s="2"/>
    </row>
    <row r="31" spans="1:7" ht="15" customHeight="1" x14ac:dyDescent="0.25">
      <c r="A31" s="2"/>
      <c r="B31" s="2"/>
      <c r="C31" s="2"/>
      <c r="D31" s="2"/>
      <c r="E31" s="2"/>
      <c r="F31" s="2"/>
      <c r="G31" s="2"/>
    </row>
    <row r="32" spans="1:7" ht="15" customHeight="1" x14ac:dyDescent="0.25">
      <c r="A32" s="2"/>
      <c r="B32" s="2"/>
      <c r="C32" s="2"/>
      <c r="D32" s="2"/>
      <c r="E32" s="2"/>
      <c r="F32" s="2"/>
      <c r="G32" s="2"/>
    </row>
    <row r="33" spans="1:7" ht="15" customHeight="1" x14ac:dyDescent="0.25">
      <c r="A33" s="2"/>
      <c r="B33" s="2"/>
      <c r="C33" s="2"/>
      <c r="D33" s="2"/>
      <c r="E33" s="2"/>
      <c r="F33" s="2"/>
      <c r="G33" s="2"/>
    </row>
    <row r="34" spans="1:7" ht="15" customHeight="1" x14ac:dyDescent="0.25">
      <c r="A34" s="2"/>
      <c r="B34" s="2"/>
      <c r="C34" s="2"/>
      <c r="D34" s="2"/>
      <c r="E34" s="2"/>
      <c r="F34" s="2"/>
      <c r="G34" s="2"/>
    </row>
    <row r="35" spans="1:7" ht="15" customHeight="1" x14ac:dyDescent="0.25">
      <c r="A35" s="2"/>
      <c r="B35" s="2"/>
      <c r="C35" s="2"/>
      <c r="D35" s="2"/>
      <c r="E35" s="2"/>
      <c r="F35" s="2"/>
      <c r="G35" s="2"/>
    </row>
    <row r="36" spans="1:7" ht="15" customHeight="1" x14ac:dyDescent="0.25">
      <c r="A36" s="2"/>
      <c r="B36" s="2"/>
      <c r="C36" s="2"/>
      <c r="D36" s="2"/>
      <c r="E36" s="2"/>
      <c r="F36" s="2"/>
      <c r="G36" s="2"/>
    </row>
    <row r="37" spans="1:7" ht="15" customHeight="1" x14ac:dyDescent="0.25">
      <c r="A37" s="2"/>
      <c r="B37" s="2"/>
      <c r="C37" s="2"/>
      <c r="D37" s="2"/>
      <c r="E37" s="2"/>
      <c r="F37" s="2"/>
      <c r="G37" s="2"/>
    </row>
    <row r="38" spans="1:7" ht="15" customHeight="1" x14ac:dyDescent="0.25">
      <c r="A38" s="2"/>
      <c r="B38" s="2"/>
      <c r="C38" s="2"/>
      <c r="D38" s="2"/>
      <c r="E38" s="2"/>
      <c r="F38" s="2"/>
      <c r="G38" s="2"/>
    </row>
    <row r="39" spans="1:7" ht="15" customHeight="1" x14ac:dyDescent="0.25">
      <c r="A39" s="2"/>
      <c r="B39" s="2"/>
      <c r="C39" s="2"/>
      <c r="D39" s="2"/>
      <c r="E39" s="2"/>
      <c r="F39" s="2"/>
      <c r="G39" s="2"/>
    </row>
    <row r="40" spans="1:7" ht="15" customHeight="1" x14ac:dyDescent="0.25">
      <c r="A40" s="2"/>
      <c r="B40" s="2"/>
      <c r="C40" s="2"/>
      <c r="D40" s="2"/>
      <c r="E40" s="2"/>
      <c r="F40" s="2"/>
      <c r="G40" s="2"/>
    </row>
    <row r="41" spans="1:7" ht="15" customHeight="1" x14ac:dyDescent="0.25">
      <c r="A41" s="2"/>
      <c r="B41" s="2"/>
      <c r="C41" s="2"/>
      <c r="D41" s="2"/>
      <c r="E41" s="2"/>
      <c r="F41" s="2"/>
      <c r="G41" s="2"/>
    </row>
    <row r="42" spans="1:7" ht="15" customHeight="1" x14ac:dyDescent="0.25">
      <c r="A42" s="2"/>
      <c r="B42" s="2"/>
      <c r="C42" s="2"/>
      <c r="D42" s="2"/>
      <c r="E42" s="2"/>
      <c r="F42" s="2"/>
      <c r="G42" s="2"/>
    </row>
    <row r="43" spans="1:7" ht="15" customHeight="1" x14ac:dyDescent="0.25">
      <c r="A43" s="2"/>
      <c r="B43" s="2"/>
      <c r="C43" s="2"/>
      <c r="D43" s="2"/>
      <c r="E43" s="2"/>
      <c r="F43" s="2"/>
      <c r="G43" s="2"/>
    </row>
    <row r="44" spans="1:7" ht="15" customHeight="1" x14ac:dyDescent="0.25">
      <c r="A44" s="2"/>
      <c r="B44" s="2"/>
      <c r="C44" s="2"/>
      <c r="D44" s="2"/>
      <c r="E44" s="2"/>
      <c r="F44" s="2"/>
      <c r="G44" s="2"/>
    </row>
    <row r="45" spans="1:7" ht="15" customHeight="1" x14ac:dyDescent="0.25">
      <c r="A45" s="2"/>
      <c r="B45" s="2"/>
      <c r="C45" s="2"/>
      <c r="D45" s="2"/>
      <c r="E45" s="2"/>
      <c r="F45" s="2"/>
      <c r="G45" s="2"/>
    </row>
    <row r="46" spans="1:7" ht="15" customHeight="1" x14ac:dyDescent="0.25">
      <c r="A46" s="2"/>
      <c r="B46" s="2"/>
      <c r="C46" s="2"/>
      <c r="D46" s="2"/>
      <c r="E46" s="2"/>
      <c r="F46" s="2"/>
      <c r="G46" s="2"/>
    </row>
    <row r="47" spans="1:7" ht="15" customHeight="1" x14ac:dyDescent="0.25">
      <c r="A47" s="2"/>
      <c r="B47" s="2"/>
      <c r="C47" s="2"/>
      <c r="D47" s="2"/>
      <c r="E47" s="2"/>
      <c r="F47" s="2"/>
      <c r="G47" s="2"/>
    </row>
    <row r="48" spans="1:7" ht="15" customHeight="1" x14ac:dyDescent="0.25">
      <c r="A48" s="2"/>
      <c r="B48" s="2"/>
      <c r="C48" s="2"/>
      <c r="D48" s="2"/>
      <c r="E48" s="2"/>
      <c r="F48" s="2"/>
      <c r="G48" s="2"/>
    </row>
    <row r="49" spans="1:7" ht="15" customHeight="1" x14ac:dyDescent="0.25">
      <c r="A49" s="2"/>
      <c r="B49" s="2"/>
      <c r="C49" s="2"/>
      <c r="D49" s="2"/>
      <c r="E49" s="2"/>
      <c r="F49" s="2"/>
      <c r="G49" s="2"/>
    </row>
    <row r="50" spans="1:7" ht="15" customHeight="1" x14ac:dyDescent="0.25">
      <c r="A50" s="2"/>
      <c r="B50" s="2"/>
      <c r="C50" s="2"/>
      <c r="D50" s="2"/>
      <c r="E50" s="2"/>
      <c r="F50" s="2"/>
      <c r="G50" s="2"/>
    </row>
    <row r="51" spans="1:7" ht="15" customHeight="1" x14ac:dyDescent="0.25">
      <c r="A51" s="2"/>
      <c r="B51" s="2"/>
      <c r="C51" s="2"/>
      <c r="D51" s="2"/>
      <c r="E51" s="2"/>
      <c r="F51" s="2"/>
      <c r="G51" s="2"/>
    </row>
    <row r="52" spans="1:7" ht="15" customHeight="1" x14ac:dyDescent="0.25">
      <c r="A52" s="2"/>
      <c r="B52" s="2"/>
      <c r="C52" s="2"/>
      <c r="D52" s="2"/>
      <c r="E52" s="2"/>
      <c r="F52" s="2"/>
      <c r="G52" s="2"/>
    </row>
    <row r="53" spans="1:7" ht="15" customHeight="1" x14ac:dyDescent="0.25">
      <c r="A53" s="2"/>
      <c r="B53" s="2"/>
      <c r="C53" s="2"/>
      <c r="D53" s="2"/>
      <c r="E53" s="2"/>
      <c r="F53" s="2"/>
      <c r="G53" s="2"/>
    </row>
    <row r="54" spans="1:7" ht="15" customHeight="1" x14ac:dyDescent="0.25">
      <c r="A54" s="2"/>
      <c r="B54" s="2"/>
      <c r="C54" s="2"/>
      <c r="D54" s="2"/>
      <c r="E54" s="2"/>
      <c r="F54" s="2"/>
      <c r="G54" s="2"/>
    </row>
    <row r="55" spans="1:7" ht="15" customHeight="1" x14ac:dyDescent="0.25">
      <c r="A55" s="2"/>
      <c r="B55" s="2"/>
      <c r="C55" s="2"/>
      <c r="D55" s="2"/>
      <c r="E55" s="2"/>
      <c r="F55" s="2"/>
      <c r="G55" s="2"/>
    </row>
    <row r="56" spans="1:7" ht="15" customHeight="1" x14ac:dyDescent="0.25">
      <c r="A56" s="2"/>
      <c r="B56" s="2"/>
      <c r="C56" s="2"/>
      <c r="D56" s="2"/>
      <c r="E56" s="2"/>
      <c r="F56" s="2"/>
      <c r="G56" s="2"/>
    </row>
    <row r="57" spans="1:7" ht="15" customHeight="1" x14ac:dyDescent="0.25">
      <c r="A57" s="2"/>
      <c r="B57" s="2"/>
      <c r="C57" s="2"/>
      <c r="D57" s="2"/>
      <c r="E57" s="2"/>
      <c r="F57" s="2"/>
      <c r="G57" s="2"/>
    </row>
    <row r="58" spans="1:7" ht="15" customHeight="1" x14ac:dyDescent="0.25">
      <c r="A58" s="2"/>
      <c r="B58" s="2"/>
      <c r="C58" s="2"/>
      <c r="D58" s="2"/>
      <c r="E58" s="2"/>
      <c r="F58" s="2"/>
      <c r="G58" s="2"/>
    </row>
    <row r="59" spans="1:7" ht="15" customHeight="1" x14ac:dyDescent="0.25">
      <c r="A59" s="2"/>
      <c r="B59" s="2"/>
      <c r="C59" s="2"/>
      <c r="D59" s="2"/>
      <c r="E59" s="2"/>
      <c r="F59" s="2"/>
      <c r="G59" s="2"/>
    </row>
    <row r="60" spans="1:7" ht="15" customHeight="1" x14ac:dyDescent="0.25">
      <c r="A60" s="2"/>
      <c r="B60" s="2"/>
      <c r="C60" s="2"/>
      <c r="D60" s="2"/>
      <c r="E60" s="2"/>
      <c r="F60" s="2"/>
      <c r="G60" s="2"/>
    </row>
    <row r="61" spans="1:7" ht="15" customHeight="1" x14ac:dyDescent="0.25">
      <c r="A61" s="2"/>
      <c r="B61" s="2"/>
      <c r="C61" s="2"/>
      <c r="D61" s="2"/>
      <c r="E61" s="2"/>
      <c r="F61" s="2"/>
      <c r="G61" s="2"/>
    </row>
    <row r="62" spans="1:7" ht="15" customHeight="1" x14ac:dyDescent="0.25">
      <c r="A62" s="2"/>
      <c r="B62" s="2"/>
      <c r="C62" s="2"/>
      <c r="D62" s="2"/>
      <c r="E62" s="2"/>
      <c r="F62" s="2"/>
      <c r="G62" s="2"/>
    </row>
    <row r="63" spans="1:7" ht="15" customHeight="1" x14ac:dyDescent="0.25">
      <c r="A63" s="2"/>
      <c r="B63" s="2"/>
      <c r="C63" s="2"/>
      <c r="D63" s="2"/>
      <c r="E63" s="2"/>
      <c r="F63" s="2"/>
      <c r="G63" s="2"/>
    </row>
    <row r="64" spans="1:7" ht="15" customHeight="1" x14ac:dyDescent="0.25">
      <c r="A64" s="2"/>
      <c r="B64" s="2"/>
      <c r="C64" s="2"/>
      <c r="D64" s="2"/>
      <c r="E64" s="2"/>
      <c r="F64" s="2"/>
      <c r="G64" s="2"/>
    </row>
    <row r="65" spans="1:7" ht="15" customHeight="1" x14ac:dyDescent="0.25">
      <c r="A65" s="2"/>
      <c r="B65" s="2"/>
      <c r="C65" s="2"/>
      <c r="D65" s="2"/>
      <c r="E65" s="2"/>
      <c r="F65" s="2"/>
      <c r="G65" s="2"/>
    </row>
    <row r="66" spans="1:7" ht="15" customHeight="1" x14ac:dyDescent="0.25">
      <c r="A66" s="2"/>
      <c r="B66" s="2"/>
      <c r="C66" s="2"/>
      <c r="D66" s="2"/>
      <c r="E66" s="2"/>
      <c r="F66" s="2"/>
      <c r="G66" s="2"/>
    </row>
    <row r="67" spans="1:7" ht="15" customHeight="1" x14ac:dyDescent="0.25">
      <c r="A67" s="2"/>
      <c r="B67" s="2"/>
      <c r="C67" s="2"/>
      <c r="D67" s="2"/>
      <c r="E67" s="2"/>
      <c r="F67" s="2"/>
      <c r="G67" s="2"/>
    </row>
    <row r="68" spans="1:7" ht="15" customHeight="1" x14ac:dyDescent="0.25">
      <c r="A68" s="2"/>
      <c r="B68" s="2"/>
      <c r="C68" s="2"/>
      <c r="D68" s="2"/>
      <c r="E68" s="2"/>
      <c r="F68" s="2"/>
      <c r="G68" s="2"/>
    </row>
    <row r="69" spans="1:7" ht="15" customHeight="1" x14ac:dyDescent="0.25">
      <c r="A69" s="2"/>
      <c r="B69" s="2"/>
      <c r="C69" s="2"/>
      <c r="D69" s="2"/>
      <c r="E69" s="2"/>
      <c r="F69" s="2"/>
      <c r="G69" s="2"/>
    </row>
    <row r="70" spans="1:7" ht="15" customHeight="1" x14ac:dyDescent="0.25">
      <c r="A70" s="2"/>
      <c r="B70" s="2"/>
      <c r="C70" s="2"/>
      <c r="D70" s="2"/>
      <c r="E70" s="2"/>
      <c r="F70" s="2"/>
      <c r="G70" s="2"/>
    </row>
    <row r="71" spans="1:7" ht="15" customHeight="1" x14ac:dyDescent="0.25">
      <c r="A71" s="2"/>
      <c r="B71" s="2"/>
      <c r="C71" s="2"/>
      <c r="D71" s="2"/>
      <c r="E71" s="2"/>
      <c r="F71" s="2"/>
      <c r="G71" s="2"/>
    </row>
    <row r="72" spans="1:7" ht="15" customHeight="1" x14ac:dyDescent="0.25">
      <c r="A72" s="2"/>
      <c r="B72" s="2"/>
      <c r="C72" s="2"/>
      <c r="D72" s="2"/>
      <c r="E72" s="2"/>
      <c r="F72" s="2"/>
      <c r="G72" s="2"/>
    </row>
    <row r="73" spans="1:7" ht="15" customHeight="1" x14ac:dyDescent="0.25">
      <c r="A73" s="2"/>
      <c r="B73" s="2"/>
      <c r="C73" s="2"/>
      <c r="D73" s="2"/>
      <c r="E73" s="2"/>
      <c r="F73" s="2"/>
      <c r="G73" s="2"/>
    </row>
    <row r="74" spans="1:7" ht="15" customHeight="1" x14ac:dyDescent="0.25">
      <c r="A74" s="2"/>
      <c r="B74" s="2"/>
      <c r="C74" s="2"/>
      <c r="D74" s="2"/>
      <c r="E74" s="2"/>
      <c r="F74" s="2"/>
      <c r="G74" s="2"/>
    </row>
    <row r="75" spans="1:7" ht="15" customHeight="1" x14ac:dyDescent="0.25">
      <c r="A75" s="2"/>
      <c r="B75" s="2"/>
      <c r="C75" s="2"/>
      <c r="D75" s="2"/>
      <c r="E75" s="2"/>
      <c r="F75" s="2"/>
      <c r="G75" s="2"/>
    </row>
    <row r="76" spans="1:7" ht="15" customHeight="1" x14ac:dyDescent="0.25">
      <c r="A76" s="2"/>
      <c r="B76" s="2"/>
      <c r="C76" s="2"/>
      <c r="D76" s="2"/>
      <c r="E76" s="2"/>
      <c r="F76" s="2"/>
      <c r="G76" s="2"/>
    </row>
    <row r="77" spans="1:7" ht="15" customHeight="1" x14ac:dyDescent="0.25">
      <c r="A77" s="2"/>
      <c r="B77" s="2"/>
      <c r="C77" s="2"/>
      <c r="D77" s="2"/>
      <c r="E77" s="2"/>
      <c r="F77" s="2"/>
      <c r="G77" s="2"/>
    </row>
    <row r="78" spans="1:7" ht="15" customHeight="1" x14ac:dyDescent="0.25">
      <c r="A78" s="2"/>
      <c r="B78" s="2"/>
      <c r="C78" s="2"/>
      <c r="D78" s="2"/>
      <c r="E78" s="2"/>
      <c r="F78" s="2"/>
      <c r="G78" s="2"/>
    </row>
    <row r="79" spans="1:7" ht="15" customHeight="1" x14ac:dyDescent="0.25">
      <c r="A79" s="2"/>
      <c r="B79" s="2"/>
      <c r="C79" s="2"/>
      <c r="D79" s="2"/>
      <c r="E79" s="2"/>
      <c r="F79" s="2"/>
      <c r="G79" s="2"/>
    </row>
    <row r="80" spans="1:7" ht="15" customHeight="1" x14ac:dyDescent="0.25">
      <c r="A80" s="2"/>
      <c r="B80" s="2"/>
      <c r="C80" s="2"/>
      <c r="D80" s="2"/>
      <c r="E80" s="2"/>
      <c r="F80" s="2"/>
      <c r="G8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"/>
  <sheetViews>
    <sheetView workbookViewId="0"/>
  </sheetViews>
  <sheetFormatPr defaultRowHeight="15" x14ac:dyDescent="0.25"/>
  <cols>
    <col min="1" max="1" width="34" customWidth="1"/>
    <col min="2" max="5" width="20" customWidth="1"/>
    <col min="6" max="6" width="42" customWidth="1"/>
    <col min="7" max="7" width="20" customWidth="1"/>
  </cols>
  <sheetData>
    <row r="1" spans="1:7" ht="26.45" customHeight="1" x14ac:dyDescent="0.2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51</v>
      </c>
      <c r="G1" s="1"/>
    </row>
    <row r="2" spans="1:7" ht="66" customHeight="1" x14ac:dyDescent="0.25">
      <c r="A2" s="2" t="s">
        <v>89</v>
      </c>
      <c r="B2" s="2">
        <v>8</v>
      </c>
      <c r="C2" s="6">
        <v>600</v>
      </c>
      <c r="D2" s="6">
        <f>B2*C2</f>
        <v>4800</v>
      </c>
      <c r="E2" s="2" t="s">
        <v>90</v>
      </c>
      <c r="F2" s="2" t="s">
        <v>91</v>
      </c>
      <c r="G2" s="2"/>
    </row>
    <row r="3" spans="1:7" ht="79.150000000000006" customHeight="1" x14ac:dyDescent="0.25">
      <c r="A3" s="2" t="s">
        <v>92</v>
      </c>
      <c r="B3" s="2">
        <v>12</v>
      </c>
      <c r="C3" s="6">
        <v>650</v>
      </c>
      <c r="D3" s="6">
        <f>B3*C3</f>
        <v>7800</v>
      </c>
      <c r="E3" s="2" t="s">
        <v>90</v>
      </c>
      <c r="F3" s="2" t="s">
        <v>93</v>
      </c>
      <c r="G3" s="2"/>
    </row>
    <row r="4" spans="1:7" ht="79.150000000000006" customHeight="1" x14ac:dyDescent="0.25">
      <c r="A4" s="2" t="s">
        <v>94</v>
      </c>
      <c r="B4" s="2">
        <v>28</v>
      </c>
      <c r="C4" s="6">
        <v>700</v>
      </c>
      <c r="D4" s="6">
        <f>B4*C4</f>
        <v>19600</v>
      </c>
      <c r="E4" s="2" t="s">
        <v>90</v>
      </c>
      <c r="F4" s="2" t="s">
        <v>95</v>
      </c>
      <c r="G4" s="2"/>
    </row>
    <row r="5" spans="1:7" ht="66" customHeight="1" x14ac:dyDescent="0.25">
      <c r="A5" s="2" t="s">
        <v>96</v>
      </c>
      <c r="B5" s="2">
        <v>10</v>
      </c>
      <c r="C5" s="6">
        <v>600</v>
      </c>
      <c r="D5" s="6">
        <f>B5*C5</f>
        <v>6000</v>
      </c>
      <c r="E5" s="2" t="s">
        <v>90</v>
      </c>
      <c r="F5" s="2" t="s">
        <v>97</v>
      </c>
      <c r="G5" s="2"/>
    </row>
    <row r="6" spans="1:7" ht="66" customHeight="1" x14ac:dyDescent="0.25">
      <c r="A6" s="2" t="s">
        <v>98</v>
      </c>
      <c r="B6" s="2">
        <v>7</v>
      </c>
      <c r="C6" s="6">
        <v>550</v>
      </c>
      <c r="D6" s="6">
        <f>B6*C6</f>
        <v>3850</v>
      </c>
      <c r="E6" s="2" t="s">
        <v>90</v>
      </c>
      <c r="F6" s="2" t="s">
        <v>99</v>
      </c>
      <c r="G6" s="2"/>
    </row>
    <row r="7" spans="1:7" ht="15" customHeight="1" x14ac:dyDescent="0.25">
      <c r="A7" s="2"/>
      <c r="B7" s="2"/>
      <c r="C7" s="6"/>
      <c r="D7" s="6"/>
      <c r="E7" s="2"/>
      <c r="F7" s="2"/>
      <c r="G7" s="2"/>
    </row>
    <row r="8" spans="1:7" ht="26.45" customHeight="1" x14ac:dyDescent="0.25">
      <c r="A8" s="2" t="s">
        <v>100</v>
      </c>
      <c r="B8" s="2" t="s">
        <v>1</v>
      </c>
      <c r="C8" s="6"/>
      <c r="D8" s="6"/>
      <c r="E8" s="2"/>
      <c r="F8" s="2"/>
      <c r="G8" s="2"/>
    </row>
    <row r="9" spans="1:7" ht="66" customHeight="1" x14ac:dyDescent="0.25">
      <c r="A9" s="2" t="s">
        <v>101</v>
      </c>
      <c r="B9" s="2">
        <f>SUM(D2:D6)</f>
        <v>42050</v>
      </c>
      <c r="C9" s="6"/>
      <c r="D9" s="6"/>
      <c r="E9" s="2"/>
      <c r="F9" s="2"/>
      <c r="G9" s="2"/>
    </row>
    <row r="10" spans="1:7" ht="15" customHeight="1" x14ac:dyDescent="0.25">
      <c r="A10" s="2"/>
      <c r="B10" s="2"/>
      <c r="C10" s="2"/>
      <c r="D10" s="2"/>
      <c r="E10" s="2"/>
      <c r="F10" s="2"/>
      <c r="G10" s="2"/>
    </row>
    <row r="11" spans="1:7" ht="15" customHeight="1" x14ac:dyDescent="0.25">
      <c r="A11" s="2"/>
      <c r="B11" s="2"/>
      <c r="C11" s="2"/>
      <c r="D11" s="2"/>
      <c r="E11" s="2"/>
      <c r="F11" s="2"/>
      <c r="G11" s="2"/>
    </row>
    <row r="12" spans="1:7" ht="15" customHeight="1" x14ac:dyDescent="0.25">
      <c r="A12" s="2"/>
      <c r="B12" s="2"/>
      <c r="C12" s="2"/>
      <c r="D12" s="2"/>
      <c r="E12" s="2"/>
      <c r="F12" s="2"/>
      <c r="G12" s="2"/>
    </row>
    <row r="13" spans="1:7" ht="15" customHeight="1" x14ac:dyDescent="0.25">
      <c r="A13" s="2"/>
      <c r="B13" s="2"/>
      <c r="C13" s="2"/>
      <c r="D13" s="2"/>
      <c r="E13" s="2"/>
      <c r="F13" s="2"/>
      <c r="G13" s="2"/>
    </row>
    <row r="14" spans="1:7" ht="15" customHeight="1" x14ac:dyDescent="0.25">
      <c r="A14" s="2"/>
      <c r="B14" s="2"/>
      <c r="C14" s="2"/>
      <c r="D14" s="2"/>
      <c r="E14" s="2"/>
      <c r="F14" s="2"/>
      <c r="G14" s="2"/>
    </row>
    <row r="15" spans="1:7" ht="15" customHeight="1" x14ac:dyDescent="0.25">
      <c r="A15" s="2"/>
      <c r="B15" s="2"/>
      <c r="C15" s="2"/>
      <c r="D15" s="2"/>
      <c r="E15" s="2"/>
      <c r="F15" s="2"/>
      <c r="G15" s="2"/>
    </row>
    <row r="16" spans="1:7" ht="15" customHeight="1" x14ac:dyDescent="0.25">
      <c r="A16" s="2"/>
      <c r="B16" s="2"/>
      <c r="C16" s="2"/>
      <c r="D16" s="2"/>
      <c r="E16" s="2"/>
      <c r="F16" s="2"/>
      <c r="G16" s="2"/>
    </row>
    <row r="17" spans="1:7" ht="15" customHeight="1" x14ac:dyDescent="0.25">
      <c r="A17" s="2"/>
      <c r="B17" s="2"/>
      <c r="C17" s="2"/>
      <c r="D17" s="2"/>
      <c r="E17" s="2"/>
      <c r="F17" s="2"/>
      <c r="G17" s="2"/>
    </row>
    <row r="18" spans="1:7" ht="15" customHeight="1" x14ac:dyDescent="0.25">
      <c r="A18" s="2"/>
      <c r="B18" s="2"/>
      <c r="C18" s="2"/>
      <c r="D18" s="2"/>
      <c r="E18" s="2"/>
      <c r="F18" s="2"/>
      <c r="G18" s="2"/>
    </row>
    <row r="19" spans="1:7" ht="15" customHeight="1" x14ac:dyDescent="0.25">
      <c r="A19" s="2"/>
      <c r="B19" s="2"/>
      <c r="C19" s="2"/>
      <c r="D19" s="2"/>
      <c r="E19" s="2"/>
      <c r="F19" s="2"/>
      <c r="G19" s="2"/>
    </row>
    <row r="20" spans="1:7" ht="15" customHeight="1" x14ac:dyDescent="0.25">
      <c r="A20" s="2"/>
      <c r="B20" s="2"/>
      <c r="C20" s="2"/>
      <c r="D20" s="2"/>
      <c r="E20" s="2"/>
      <c r="F20" s="2"/>
      <c r="G20" s="2"/>
    </row>
    <row r="21" spans="1:7" ht="15" customHeight="1" x14ac:dyDescent="0.25">
      <c r="A21" s="2"/>
      <c r="B21" s="2"/>
      <c r="C21" s="2"/>
      <c r="D21" s="2"/>
      <c r="E21" s="2"/>
      <c r="F21" s="2"/>
      <c r="G21" s="2"/>
    </row>
    <row r="22" spans="1:7" ht="15" customHeight="1" x14ac:dyDescent="0.25">
      <c r="A22" s="2"/>
      <c r="B22" s="2"/>
      <c r="C22" s="2"/>
      <c r="D22" s="2"/>
      <c r="E22" s="2"/>
      <c r="F22" s="2"/>
      <c r="G22" s="2"/>
    </row>
    <row r="23" spans="1:7" ht="15" customHeight="1" x14ac:dyDescent="0.25">
      <c r="A23" s="2"/>
      <c r="B23" s="2"/>
      <c r="C23" s="2"/>
      <c r="D23" s="2"/>
      <c r="E23" s="2"/>
      <c r="F23" s="2"/>
      <c r="G23" s="2"/>
    </row>
    <row r="24" spans="1:7" ht="15" customHeight="1" x14ac:dyDescent="0.25">
      <c r="A24" s="2"/>
      <c r="B24" s="2"/>
      <c r="C24" s="2"/>
      <c r="D24" s="2"/>
      <c r="E24" s="2"/>
      <c r="F24" s="2"/>
      <c r="G24" s="2"/>
    </row>
    <row r="25" spans="1:7" ht="15" customHeight="1" x14ac:dyDescent="0.25">
      <c r="A25" s="2"/>
      <c r="B25" s="2"/>
      <c r="C25" s="2"/>
      <c r="D25" s="2"/>
      <c r="E25" s="2"/>
      <c r="F25" s="2"/>
      <c r="G25" s="2"/>
    </row>
    <row r="26" spans="1:7" ht="15" customHeight="1" x14ac:dyDescent="0.25">
      <c r="A26" s="2"/>
      <c r="B26" s="2"/>
      <c r="C26" s="2"/>
      <c r="D26" s="2"/>
      <c r="E26" s="2"/>
      <c r="F26" s="2"/>
      <c r="G26" s="2"/>
    </row>
    <row r="27" spans="1:7" ht="15" customHeight="1" x14ac:dyDescent="0.25">
      <c r="A27" s="2"/>
      <c r="B27" s="2"/>
      <c r="C27" s="2"/>
      <c r="D27" s="2"/>
      <c r="E27" s="2"/>
      <c r="F27" s="2"/>
      <c r="G27" s="2"/>
    </row>
    <row r="28" spans="1:7" ht="15" customHeight="1" x14ac:dyDescent="0.25">
      <c r="A28" s="2"/>
      <c r="B28" s="2"/>
      <c r="C28" s="2"/>
      <c r="D28" s="2"/>
      <c r="E28" s="2"/>
      <c r="F28" s="2"/>
      <c r="G28" s="2"/>
    </row>
    <row r="29" spans="1:7" ht="15" customHeight="1" x14ac:dyDescent="0.25">
      <c r="A29" s="2"/>
      <c r="B29" s="2"/>
      <c r="C29" s="2"/>
      <c r="D29" s="2"/>
      <c r="E29" s="2"/>
      <c r="F29" s="2"/>
      <c r="G29" s="2"/>
    </row>
    <row r="30" spans="1:7" ht="15" customHeight="1" x14ac:dyDescent="0.25">
      <c r="A30" s="2"/>
      <c r="B30" s="2"/>
      <c r="C30" s="2"/>
      <c r="D30" s="2"/>
      <c r="E30" s="2"/>
      <c r="F30" s="2"/>
      <c r="G30" s="2"/>
    </row>
    <row r="31" spans="1:7" ht="15" customHeight="1" x14ac:dyDescent="0.25">
      <c r="A31" s="2"/>
      <c r="B31" s="2"/>
      <c r="C31" s="2"/>
      <c r="D31" s="2"/>
      <c r="E31" s="2"/>
      <c r="F31" s="2"/>
      <c r="G31" s="2"/>
    </row>
    <row r="32" spans="1:7" ht="15" customHeight="1" x14ac:dyDescent="0.25">
      <c r="A32" s="2"/>
      <c r="B32" s="2"/>
      <c r="C32" s="2"/>
      <c r="D32" s="2"/>
      <c r="E32" s="2"/>
      <c r="F32" s="2"/>
      <c r="G32" s="2"/>
    </row>
    <row r="33" spans="1:7" ht="15" customHeight="1" x14ac:dyDescent="0.25">
      <c r="A33" s="2"/>
      <c r="B33" s="2"/>
      <c r="C33" s="2"/>
      <c r="D33" s="2"/>
      <c r="E33" s="2"/>
      <c r="F33" s="2"/>
      <c r="G33" s="2"/>
    </row>
    <row r="34" spans="1:7" ht="15" customHeight="1" x14ac:dyDescent="0.25">
      <c r="A34" s="2"/>
      <c r="B34" s="2"/>
      <c r="C34" s="2"/>
      <c r="D34" s="2"/>
      <c r="E34" s="2"/>
      <c r="F34" s="2"/>
      <c r="G34" s="2"/>
    </row>
    <row r="35" spans="1:7" ht="15" customHeight="1" x14ac:dyDescent="0.25">
      <c r="A35" s="2"/>
      <c r="B35" s="2"/>
      <c r="C35" s="2"/>
      <c r="D35" s="2"/>
      <c r="E35" s="2"/>
      <c r="F35" s="2"/>
      <c r="G35" s="2"/>
    </row>
    <row r="36" spans="1:7" ht="15" customHeight="1" x14ac:dyDescent="0.25">
      <c r="A36" s="2"/>
      <c r="B36" s="2"/>
      <c r="C36" s="2"/>
      <c r="D36" s="2"/>
      <c r="E36" s="2"/>
      <c r="F36" s="2"/>
      <c r="G36" s="2"/>
    </row>
    <row r="37" spans="1:7" ht="15" customHeight="1" x14ac:dyDescent="0.25">
      <c r="A37" s="2"/>
      <c r="B37" s="2"/>
      <c r="C37" s="2"/>
      <c r="D37" s="2"/>
      <c r="E37" s="2"/>
      <c r="F37" s="2"/>
      <c r="G37" s="2"/>
    </row>
    <row r="38" spans="1:7" ht="15" customHeight="1" x14ac:dyDescent="0.25">
      <c r="A38" s="2"/>
      <c r="B38" s="2"/>
      <c r="C38" s="2"/>
      <c r="D38" s="2"/>
      <c r="E38" s="2"/>
      <c r="F38" s="2"/>
      <c r="G38" s="2"/>
    </row>
    <row r="39" spans="1:7" ht="15" customHeight="1" x14ac:dyDescent="0.25">
      <c r="A39" s="2"/>
      <c r="B39" s="2"/>
      <c r="C39" s="2"/>
      <c r="D39" s="2"/>
      <c r="E39" s="2"/>
      <c r="F39" s="2"/>
      <c r="G39" s="2"/>
    </row>
    <row r="40" spans="1:7" ht="15" customHeight="1" x14ac:dyDescent="0.25">
      <c r="A40" s="2"/>
      <c r="B40" s="2"/>
      <c r="C40" s="2"/>
      <c r="D40" s="2"/>
      <c r="E40" s="2"/>
      <c r="F40" s="2"/>
      <c r="G40" s="2"/>
    </row>
    <row r="41" spans="1:7" ht="15" customHeight="1" x14ac:dyDescent="0.25">
      <c r="A41" s="2"/>
      <c r="B41" s="2"/>
      <c r="C41" s="2"/>
      <c r="D41" s="2"/>
      <c r="E41" s="2"/>
      <c r="F41" s="2"/>
      <c r="G41" s="2"/>
    </row>
    <row r="42" spans="1:7" ht="15" customHeight="1" x14ac:dyDescent="0.25">
      <c r="A42" s="2"/>
      <c r="B42" s="2"/>
      <c r="C42" s="2"/>
      <c r="D42" s="2"/>
      <c r="E42" s="2"/>
      <c r="F42" s="2"/>
      <c r="G42" s="2"/>
    </row>
    <row r="43" spans="1:7" ht="15" customHeight="1" x14ac:dyDescent="0.25">
      <c r="A43" s="2"/>
      <c r="B43" s="2"/>
      <c r="C43" s="2"/>
      <c r="D43" s="2"/>
      <c r="E43" s="2"/>
      <c r="F43" s="2"/>
      <c r="G43" s="2"/>
    </row>
    <row r="44" spans="1:7" ht="15" customHeight="1" x14ac:dyDescent="0.25">
      <c r="A44" s="2"/>
      <c r="B44" s="2"/>
      <c r="C44" s="2"/>
      <c r="D44" s="2"/>
      <c r="E44" s="2"/>
      <c r="F44" s="2"/>
      <c r="G44" s="2"/>
    </row>
    <row r="45" spans="1:7" ht="15" customHeight="1" x14ac:dyDescent="0.25">
      <c r="A45" s="2"/>
      <c r="B45" s="2"/>
      <c r="C45" s="2"/>
      <c r="D45" s="2"/>
      <c r="E45" s="2"/>
      <c r="F45" s="2"/>
      <c r="G45" s="2"/>
    </row>
    <row r="46" spans="1:7" ht="15" customHeight="1" x14ac:dyDescent="0.25">
      <c r="A46" s="2"/>
      <c r="B46" s="2"/>
      <c r="C46" s="2"/>
      <c r="D46" s="2"/>
      <c r="E46" s="2"/>
      <c r="F46" s="2"/>
      <c r="G46" s="2"/>
    </row>
    <row r="47" spans="1:7" ht="15" customHeight="1" x14ac:dyDescent="0.25">
      <c r="A47" s="2"/>
      <c r="B47" s="2"/>
      <c r="C47" s="2"/>
      <c r="D47" s="2"/>
      <c r="E47" s="2"/>
      <c r="F47" s="2"/>
      <c r="G47" s="2"/>
    </row>
    <row r="48" spans="1:7" ht="15" customHeight="1" x14ac:dyDescent="0.25">
      <c r="A48" s="2"/>
      <c r="B48" s="2"/>
      <c r="C48" s="2"/>
      <c r="D48" s="2"/>
      <c r="E48" s="2"/>
      <c r="F48" s="2"/>
      <c r="G48" s="2"/>
    </row>
    <row r="49" spans="1:7" ht="15" customHeight="1" x14ac:dyDescent="0.25">
      <c r="A49" s="2"/>
      <c r="B49" s="2"/>
      <c r="C49" s="2"/>
      <c r="D49" s="2"/>
      <c r="E49" s="2"/>
      <c r="F49" s="2"/>
      <c r="G49" s="2"/>
    </row>
    <row r="50" spans="1:7" ht="15" customHeight="1" x14ac:dyDescent="0.25">
      <c r="A50" s="2"/>
      <c r="B50" s="2"/>
      <c r="C50" s="2"/>
      <c r="D50" s="2"/>
      <c r="E50" s="2"/>
      <c r="F50" s="2"/>
      <c r="G50" s="2"/>
    </row>
    <row r="51" spans="1:7" ht="15" customHeight="1" x14ac:dyDescent="0.25">
      <c r="A51" s="2"/>
      <c r="B51" s="2"/>
      <c r="C51" s="2"/>
      <c r="D51" s="2"/>
      <c r="E51" s="2"/>
      <c r="F51" s="2"/>
      <c r="G51" s="2"/>
    </row>
    <row r="52" spans="1:7" ht="15" customHeight="1" x14ac:dyDescent="0.25">
      <c r="A52" s="2"/>
      <c r="B52" s="2"/>
      <c r="C52" s="2"/>
      <c r="D52" s="2"/>
      <c r="E52" s="2"/>
      <c r="F52" s="2"/>
      <c r="G52" s="2"/>
    </row>
    <row r="53" spans="1:7" ht="15" customHeight="1" x14ac:dyDescent="0.25">
      <c r="A53" s="2"/>
      <c r="B53" s="2"/>
      <c r="C53" s="2"/>
      <c r="D53" s="2"/>
      <c r="E53" s="2"/>
      <c r="F53" s="2"/>
      <c r="G53" s="2"/>
    </row>
    <row r="54" spans="1:7" ht="15" customHeight="1" x14ac:dyDescent="0.25">
      <c r="A54" s="2"/>
      <c r="B54" s="2"/>
      <c r="C54" s="2"/>
      <c r="D54" s="2"/>
      <c r="E54" s="2"/>
      <c r="F54" s="2"/>
      <c r="G54" s="2"/>
    </row>
    <row r="55" spans="1:7" ht="15" customHeight="1" x14ac:dyDescent="0.25">
      <c r="A55" s="2"/>
      <c r="B55" s="2"/>
      <c r="C55" s="2"/>
      <c r="D55" s="2"/>
      <c r="E55" s="2"/>
      <c r="F55" s="2"/>
      <c r="G55" s="2"/>
    </row>
    <row r="56" spans="1:7" ht="15" customHeight="1" x14ac:dyDescent="0.25">
      <c r="A56" s="2"/>
      <c r="B56" s="2"/>
      <c r="C56" s="2"/>
      <c r="D56" s="2"/>
      <c r="E56" s="2"/>
      <c r="F56" s="2"/>
      <c r="G56" s="2"/>
    </row>
    <row r="57" spans="1:7" ht="15" customHeight="1" x14ac:dyDescent="0.25">
      <c r="A57" s="2"/>
      <c r="B57" s="2"/>
      <c r="C57" s="2"/>
      <c r="D57" s="2"/>
      <c r="E57" s="2"/>
      <c r="F57" s="2"/>
      <c r="G57" s="2"/>
    </row>
    <row r="58" spans="1:7" ht="15" customHeight="1" x14ac:dyDescent="0.25">
      <c r="A58" s="2"/>
      <c r="B58" s="2"/>
      <c r="C58" s="2"/>
      <c r="D58" s="2"/>
      <c r="E58" s="2"/>
      <c r="F58" s="2"/>
      <c r="G58" s="2"/>
    </row>
    <row r="59" spans="1:7" ht="15" customHeight="1" x14ac:dyDescent="0.25">
      <c r="A59" s="2"/>
      <c r="B59" s="2"/>
      <c r="C59" s="2"/>
      <c r="D59" s="2"/>
      <c r="E59" s="2"/>
      <c r="F59" s="2"/>
      <c r="G59" s="2"/>
    </row>
    <row r="60" spans="1:7" ht="15" customHeight="1" x14ac:dyDescent="0.25">
      <c r="A60" s="2"/>
      <c r="B60" s="2"/>
      <c r="C60" s="2"/>
      <c r="D60" s="2"/>
      <c r="E60" s="2"/>
      <c r="F60" s="2"/>
      <c r="G60" s="2"/>
    </row>
    <row r="61" spans="1:7" ht="15" customHeight="1" x14ac:dyDescent="0.25">
      <c r="A61" s="2"/>
      <c r="B61" s="2"/>
      <c r="C61" s="2"/>
      <c r="D61" s="2"/>
      <c r="E61" s="2"/>
      <c r="F61" s="2"/>
      <c r="G61" s="2"/>
    </row>
    <row r="62" spans="1:7" ht="15" customHeight="1" x14ac:dyDescent="0.25">
      <c r="A62" s="2"/>
      <c r="B62" s="2"/>
      <c r="C62" s="2"/>
      <c r="D62" s="2"/>
      <c r="E62" s="2"/>
      <c r="F62" s="2"/>
      <c r="G62" s="2"/>
    </row>
    <row r="63" spans="1:7" ht="15" customHeight="1" x14ac:dyDescent="0.25">
      <c r="A63" s="2"/>
      <c r="B63" s="2"/>
      <c r="C63" s="2"/>
      <c r="D63" s="2"/>
      <c r="E63" s="2"/>
      <c r="F63" s="2"/>
      <c r="G63" s="2"/>
    </row>
    <row r="64" spans="1:7" ht="15" customHeight="1" x14ac:dyDescent="0.25">
      <c r="A64" s="2"/>
      <c r="B64" s="2"/>
      <c r="C64" s="2"/>
      <c r="D64" s="2"/>
      <c r="E64" s="2"/>
      <c r="F64" s="2"/>
      <c r="G64" s="2"/>
    </row>
    <row r="65" spans="1:7" ht="15" customHeight="1" x14ac:dyDescent="0.25">
      <c r="A65" s="2"/>
      <c r="B65" s="2"/>
      <c r="C65" s="2"/>
      <c r="D65" s="2"/>
      <c r="E65" s="2"/>
      <c r="F65" s="2"/>
      <c r="G65" s="2"/>
    </row>
    <row r="66" spans="1:7" ht="15" customHeight="1" x14ac:dyDescent="0.25">
      <c r="A66" s="2"/>
      <c r="B66" s="2"/>
      <c r="C66" s="2"/>
      <c r="D66" s="2"/>
      <c r="E66" s="2"/>
      <c r="F66" s="2"/>
      <c r="G66" s="2"/>
    </row>
    <row r="67" spans="1:7" ht="15" customHeight="1" x14ac:dyDescent="0.25">
      <c r="A67" s="2"/>
      <c r="B67" s="2"/>
      <c r="C67" s="2"/>
      <c r="D67" s="2"/>
      <c r="E67" s="2"/>
      <c r="F67" s="2"/>
      <c r="G67" s="2"/>
    </row>
    <row r="68" spans="1:7" ht="15" customHeight="1" x14ac:dyDescent="0.25">
      <c r="A68" s="2"/>
      <c r="B68" s="2"/>
      <c r="C68" s="2"/>
      <c r="D68" s="2"/>
      <c r="E68" s="2"/>
      <c r="F68" s="2"/>
      <c r="G68" s="2"/>
    </row>
    <row r="69" spans="1:7" ht="15" customHeight="1" x14ac:dyDescent="0.25">
      <c r="A69" s="2"/>
      <c r="B69" s="2"/>
      <c r="C69" s="2"/>
      <c r="D69" s="2"/>
      <c r="E69" s="2"/>
      <c r="F69" s="2"/>
      <c r="G69" s="2"/>
    </row>
    <row r="70" spans="1:7" ht="15" customHeight="1" x14ac:dyDescent="0.25">
      <c r="A70" s="2"/>
      <c r="B70" s="2"/>
      <c r="C70" s="2"/>
      <c r="D70" s="2"/>
      <c r="E70" s="2"/>
      <c r="F70" s="2"/>
      <c r="G70" s="2"/>
    </row>
    <row r="71" spans="1:7" ht="15" customHeight="1" x14ac:dyDescent="0.25">
      <c r="A71" s="2"/>
      <c r="B71" s="2"/>
      <c r="C71" s="2"/>
      <c r="D71" s="2"/>
      <c r="E71" s="2"/>
      <c r="F71" s="2"/>
      <c r="G71" s="2"/>
    </row>
    <row r="72" spans="1:7" ht="15" customHeight="1" x14ac:dyDescent="0.25">
      <c r="A72" s="2"/>
      <c r="B72" s="2"/>
      <c r="C72" s="2"/>
      <c r="D72" s="2"/>
      <c r="E72" s="2"/>
      <c r="F72" s="2"/>
      <c r="G72" s="2"/>
    </row>
    <row r="73" spans="1:7" ht="15" customHeight="1" x14ac:dyDescent="0.25">
      <c r="A73" s="2"/>
      <c r="B73" s="2"/>
      <c r="C73" s="2"/>
      <c r="D73" s="2"/>
      <c r="E73" s="2"/>
      <c r="F73" s="2"/>
      <c r="G73" s="2"/>
    </row>
    <row r="74" spans="1:7" ht="15" customHeight="1" x14ac:dyDescent="0.25">
      <c r="A74" s="2"/>
      <c r="B74" s="2"/>
      <c r="C74" s="2"/>
      <c r="D74" s="2"/>
      <c r="E74" s="2"/>
      <c r="F74" s="2"/>
      <c r="G74" s="2"/>
    </row>
    <row r="75" spans="1:7" ht="15" customHeight="1" x14ac:dyDescent="0.25">
      <c r="A75" s="2"/>
      <c r="B75" s="2"/>
      <c r="C75" s="2"/>
      <c r="D75" s="2"/>
      <c r="E75" s="2"/>
      <c r="F75" s="2"/>
      <c r="G75" s="2"/>
    </row>
    <row r="76" spans="1:7" ht="15" customHeight="1" x14ac:dyDescent="0.25">
      <c r="A76" s="2"/>
      <c r="B76" s="2"/>
      <c r="C76" s="2"/>
      <c r="D76" s="2"/>
      <c r="E76" s="2"/>
      <c r="F76" s="2"/>
      <c r="G76" s="2"/>
    </row>
    <row r="77" spans="1:7" ht="15" customHeight="1" x14ac:dyDescent="0.25">
      <c r="A77" s="2"/>
      <c r="B77" s="2"/>
      <c r="C77" s="2"/>
      <c r="D77" s="2"/>
      <c r="E77" s="2"/>
      <c r="F77" s="2"/>
      <c r="G77" s="2"/>
    </row>
    <row r="78" spans="1:7" ht="15" customHeight="1" x14ac:dyDescent="0.25">
      <c r="A78" s="2"/>
      <c r="B78" s="2"/>
      <c r="C78" s="2"/>
      <c r="D78" s="2"/>
      <c r="E78" s="2"/>
      <c r="F78" s="2"/>
      <c r="G78" s="2"/>
    </row>
    <row r="79" spans="1:7" ht="15" customHeight="1" x14ac:dyDescent="0.25">
      <c r="A79" s="2"/>
      <c r="B79" s="2"/>
      <c r="C79" s="2"/>
      <c r="D79" s="2"/>
      <c r="E79" s="2"/>
      <c r="F79" s="2"/>
      <c r="G79" s="2"/>
    </row>
    <row r="80" spans="1:7" ht="15" customHeight="1" x14ac:dyDescent="0.25">
      <c r="A80" s="2"/>
      <c r="B80" s="2"/>
      <c r="C80" s="2"/>
      <c r="D80" s="2"/>
      <c r="E80" s="2"/>
      <c r="F80" s="2"/>
      <c r="G8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0"/>
  <sheetViews>
    <sheetView workbookViewId="0"/>
  </sheetViews>
  <sheetFormatPr defaultRowHeight="15" x14ac:dyDescent="0.25"/>
  <cols>
    <col min="1" max="1" width="40" customWidth="1"/>
    <col min="2" max="2" width="38" customWidth="1"/>
    <col min="3" max="3" width="20" customWidth="1"/>
    <col min="4" max="4" width="18" customWidth="1"/>
    <col min="5" max="7" width="20" customWidth="1"/>
  </cols>
  <sheetData>
    <row r="1" spans="1:7" ht="39.6" customHeight="1" x14ac:dyDescent="0.25">
      <c r="A1" s="1" t="s">
        <v>100</v>
      </c>
      <c r="B1" s="1" t="s">
        <v>102</v>
      </c>
      <c r="C1" s="1" t="s">
        <v>1</v>
      </c>
      <c r="D1" s="1" t="s">
        <v>2</v>
      </c>
      <c r="E1" s="1"/>
      <c r="F1" s="1"/>
      <c r="G1" s="1"/>
    </row>
    <row r="2" spans="1:7" ht="52.7" customHeight="1" x14ac:dyDescent="0.25">
      <c r="A2" s="2" t="s">
        <v>103</v>
      </c>
      <c r="B2" s="2" t="s">
        <v>104</v>
      </c>
      <c r="C2" s="5">
        <f>Исходные_данные!B18</f>
        <v>135.85000000000002</v>
      </c>
      <c r="D2" s="2" t="s">
        <v>105</v>
      </c>
      <c r="E2" s="2"/>
      <c r="F2" s="2"/>
      <c r="G2" s="2"/>
    </row>
    <row r="3" spans="1:7" ht="52.7" customHeight="1" x14ac:dyDescent="0.25">
      <c r="A3" s="2" t="s">
        <v>106</v>
      </c>
      <c r="B3" s="2" t="s">
        <v>107</v>
      </c>
      <c r="C3" s="5">
        <f>Трудоемкость_ASIS!D10-Трудоемкость_TOBE!D9</f>
        <v>30</v>
      </c>
      <c r="D3" s="2" t="s">
        <v>40</v>
      </c>
      <c r="E3" s="2"/>
      <c r="F3" s="2"/>
      <c r="G3" s="2"/>
    </row>
    <row r="4" spans="1:7" ht="66" customHeight="1" x14ac:dyDescent="0.25">
      <c r="A4" s="2" t="s">
        <v>108</v>
      </c>
      <c r="B4" s="2" t="s">
        <v>107</v>
      </c>
      <c r="C4" s="6">
        <f>Трудоемкость_ASIS!D12-Трудоемкость_TOBE!D11</f>
        <v>280</v>
      </c>
      <c r="D4" s="2" t="s">
        <v>109</v>
      </c>
      <c r="E4" s="2"/>
      <c r="F4" s="2"/>
      <c r="G4" s="2"/>
    </row>
    <row r="5" spans="1:7" ht="79.150000000000006" customHeight="1" x14ac:dyDescent="0.25">
      <c r="A5" s="2" t="s">
        <v>110</v>
      </c>
      <c r="B5" s="2" t="s">
        <v>111</v>
      </c>
      <c r="C5" s="6">
        <f>C2*C4</f>
        <v>38038.000000000007</v>
      </c>
      <c r="D5" s="2" t="s">
        <v>28</v>
      </c>
      <c r="E5" s="2"/>
      <c r="F5" s="2"/>
      <c r="G5" s="2"/>
    </row>
    <row r="6" spans="1:7" ht="66" customHeight="1" x14ac:dyDescent="0.25">
      <c r="A6" s="2" t="s">
        <v>112</v>
      </c>
      <c r="B6" s="2" t="s">
        <v>113</v>
      </c>
      <c r="C6" s="6">
        <f>Исходные_данные!B9*12*Исходные_данные!B10</f>
        <v>13200</v>
      </c>
      <c r="D6" s="2" t="s">
        <v>28</v>
      </c>
      <c r="E6" s="2"/>
      <c r="F6" s="2"/>
      <c r="G6" s="2"/>
    </row>
    <row r="7" spans="1:7" ht="92.45" customHeight="1" x14ac:dyDescent="0.25">
      <c r="A7" s="2" t="s">
        <v>114</v>
      </c>
      <c r="B7" s="2" t="s">
        <v>115</v>
      </c>
      <c r="C7" s="6">
        <f>C2*Исходные_данные!B14*Исходные_данные!B15/60*Исходные_данные!B5</f>
        <v>2490.5833333333339</v>
      </c>
      <c r="D7" s="2" t="s">
        <v>28</v>
      </c>
      <c r="E7" s="2"/>
      <c r="F7" s="2"/>
      <c r="G7" s="2"/>
    </row>
    <row r="8" spans="1:7" ht="39.6" customHeight="1" x14ac:dyDescent="0.25">
      <c r="A8" s="2" t="s">
        <v>116</v>
      </c>
      <c r="B8" s="2" t="s">
        <v>117</v>
      </c>
      <c r="C8" s="6">
        <f>SUM(C5:C7)</f>
        <v>53728.583333333343</v>
      </c>
      <c r="D8" s="2" t="s">
        <v>28</v>
      </c>
      <c r="E8" s="2"/>
      <c r="F8" s="2"/>
      <c r="G8" s="2"/>
    </row>
    <row r="9" spans="1:7" ht="39.6" customHeight="1" x14ac:dyDescent="0.25">
      <c r="A9" s="2" t="s">
        <v>118</v>
      </c>
      <c r="B9" s="2" t="s">
        <v>119</v>
      </c>
      <c r="C9" s="6">
        <f>Исходные_данные!B11</f>
        <v>8000</v>
      </c>
      <c r="D9" s="2" t="s">
        <v>28</v>
      </c>
      <c r="E9" s="2"/>
      <c r="F9" s="2"/>
      <c r="G9" s="2"/>
    </row>
    <row r="10" spans="1:7" ht="52.7" customHeight="1" x14ac:dyDescent="0.25">
      <c r="A10" s="2" t="s">
        <v>120</v>
      </c>
      <c r="B10" s="2" t="s">
        <v>121</v>
      </c>
      <c r="C10" s="6">
        <f>C8-C9</f>
        <v>45728.583333333343</v>
      </c>
      <c r="D10" s="2" t="s">
        <v>28</v>
      </c>
      <c r="E10" s="2"/>
      <c r="F10" s="2"/>
      <c r="G10" s="2"/>
    </row>
    <row r="11" spans="1:7" ht="52.7" customHeight="1" x14ac:dyDescent="0.25">
      <c r="A11" s="2" t="s">
        <v>122</v>
      </c>
      <c r="B11" s="2" t="s">
        <v>123</v>
      </c>
      <c r="C11" s="6">
        <f>Стоимость_разработки!B9</f>
        <v>42050</v>
      </c>
      <c r="D11" s="2" t="s">
        <v>124</v>
      </c>
      <c r="E11" s="2"/>
      <c r="F11" s="2"/>
      <c r="G11" s="2"/>
    </row>
    <row r="12" spans="1:7" ht="66" customHeight="1" x14ac:dyDescent="0.25">
      <c r="A12" s="2" t="s">
        <v>125</v>
      </c>
      <c r="B12" s="2" t="s">
        <v>126</v>
      </c>
      <c r="C12" s="5">
        <f>IF(C10&gt;0,C11/C10*12,"Не окупается")</f>
        <v>11.034673790827398</v>
      </c>
      <c r="D12" s="2" t="s">
        <v>127</v>
      </c>
      <c r="E12" s="2"/>
      <c r="F12" s="2"/>
      <c r="G12" s="2"/>
    </row>
    <row r="13" spans="1:7" ht="52.7" customHeight="1" x14ac:dyDescent="0.25">
      <c r="A13" s="2" t="s">
        <v>128</v>
      </c>
      <c r="B13" s="2" t="s">
        <v>129</v>
      </c>
      <c r="C13" s="8">
        <f>C10/C11</f>
        <v>1.0874811732065004</v>
      </c>
      <c r="D13" s="2" t="s">
        <v>130</v>
      </c>
      <c r="E13" s="2"/>
      <c r="F13" s="2"/>
      <c r="G13" s="2"/>
    </row>
    <row r="14" spans="1:7" ht="15" customHeight="1" x14ac:dyDescent="0.25">
      <c r="A14" s="2" t="s">
        <v>131</v>
      </c>
      <c r="B14" s="2" t="s">
        <v>132</v>
      </c>
      <c r="C14" s="7">
        <f>(C10-C11)/C11</f>
        <v>8.7481173206500423E-2</v>
      </c>
      <c r="D14" s="2" t="s">
        <v>133</v>
      </c>
      <c r="E14" s="2"/>
      <c r="F14" s="2"/>
      <c r="G14" s="2"/>
    </row>
    <row r="15" spans="1:7" ht="15" customHeight="1" x14ac:dyDescent="0.25">
      <c r="A15" s="2"/>
      <c r="B15" s="2"/>
      <c r="C15" s="2"/>
      <c r="D15" s="2"/>
      <c r="E15" s="2"/>
      <c r="F15" s="2"/>
      <c r="G15" s="2"/>
    </row>
    <row r="16" spans="1:7" ht="15" customHeight="1" x14ac:dyDescent="0.25">
      <c r="A16" s="2"/>
      <c r="B16" s="2"/>
      <c r="C16" s="2"/>
      <c r="D16" s="2"/>
      <c r="E16" s="2"/>
      <c r="F16" s="2"/>
      <c r="G16" s="2"/>
    </row>
    <row r="17" spans="1:7" ht="15" customHeight="1" x14ac:dyDescent="0.25">
      <c r="A17" s="2"/>
      <c r="B17" s="2"/>
      <c r="C17" s="2"/>
      <c r="D17" s="2"/>
      <c r="E17" s="2"/>
      <c r="F17" s="2"/>
      <c r="G17" s="2"/>
    </row>
    <row r="18" spans="1:7" ht="15" customHeight="1" x14ac:dyDescent="0.25">
      <c r="A18" s="2"/>
      <c r="B18" s="2"/>
      <c r="C18" s="2"/>
      <c r="D18" s="2"/>
      <c r="E18" s="2"/>
      <c r="F18" s="2"/>
      <c r="G18" s="2"/>
    </row>
    <row r="19" spans="1:7" ht="15" customHeight="1" x14ac:dyDescent="0.25">
      <c r="A19" s="2"/>
      <c r="B19" s="2"/>
      <c r="C19" s="2"/>
      <c r="D19" s="2"/>
      <c r="E19" s="2"/>
      <c r="F19" s="2"/>
      <c r="G19" s="2"/>
    </row>
    <row r="20" spans="1:7" ht="15" customHeight="1" x14ac:dyDescent="0.25">
      <c r="A20" s="2"/>
      <c r="B20" s="2"/>
      <c r="C20" s="2"/>
      <c r="D20" s="2"/>
      <c r="E20" s="2"/>
      <c r="F20" s="2"/>
      <c r="G20" s="2"/>
    </row>
    <row r="21" spans="1:7" ht="15" customHeight="1" x14ac:dyDescent="0.25">
      <c r="A21" s="2"/>
      <c r="B21" s="2"/>
      <c r="C21" s="2"/>
      <c r="D21" s="2"/>
      <c r="E21" s="2"/>
      <c r="F21" s="2"/>
      <c r="G21" s="2"/>
    </row>
    <row r="22" spans="1:7" ht="15" customHeight="1" x14ac:dyDescent="0.25">
      <c r="A22" s="2"/>
      <c r="B22" s="2"/>
      <c r="C22" s="2"/>
      <c r="D22" s="2"/>
      <c r="E22" s="2"/>
      <c r="F22" s="2"/>
      <c r="G22" s="2"/>
    </row>
    <row r="23" spans="1:7" ht="15" customHeight="1" x14ac:dyDescent="0.25">
      <c r="A23" s="2"/>
      <c r="B23" s="2"/>
      <c r="C23" s="2"/>
      <c r="D23" s="2"/>
      <c r="E23" s="2"/>
      <c r="F23" s="2"/>
      <c r="G23" s="2"/>
    </row>
    <row r="24" spans="1:7" ht="15" customHeight="1" x14ac:dyDescent="0.25">
      <c r="A24" s="2"/>
      <c r="B24" s="2"/>
      <c r="C24" s="2"/>
      <c r="D24" s="2"/>
      <c r="E24" s="2"/>
      <c r="F24" s="2"/>
      <c r="G24" s="2"/>
    </row>
    <row r="25" spans="1:7" ht="15" customHeight="1" x14ac:dyDescent="0.25">
      <c r="A25" s="2"/>
      <c r="B25" s="2"/>
      <c r="C25" s="2"/>
      <c r="D25" s="2"/>
      <c r="E25" s="2"/>
      <c r="F25" s="2"/>
      <c r="G25" s="2"/>
    </row>
    <row r="26" spans="1:7" ht="15" customHeight="1" x14ac:dyDescent="0.25">
      <c r="A26" s="2"/>
      <c r="B26" s="2"/>
      <c r="C26" s="2"/>
      <c r="D26" s="2"/>
      <c r="E26" s="2"/>
      <c r="F26" s="2"/>
      <c r="G26" s="2"/>
    </row>
    <row r="27" spans="1:7" ht="15" customHeight="1" x14ac:dyDescent="0.25">
      <c r="A27" s="2"/>
      <c r="B27" s="2"/>
      <c r="C27" s="2"/>
      <c r="D27" s="2"/>
      <c r="E27" s="2"/>
      <c r="F27" s="2"/>
      <c r="G27" s="2"/>
    </row>
    <row r="28" spans="1:7" ht="15" customHeight="1" x14ac:dyDescent="0.25">
      <c r="A28" s="2"/>
      <c r="B28" s="2"/>
      <c r="C28" s="2"/>
      <c r="D28" s="2"/>
      <c r="E28" s="2"/>
      <c r="F28" s="2"/>
      <c r="G28" s="2"/>
    </row>
    <row r="29" spans="1:7" ht="15" customHeight="1" x14ac:dyDescent="0.25">
      <c r="A29" s="2"/>
      <c r="B29" s="2"/>
      <c r="C29" s="2"/>
      <c r="D29" s="2"/>
      <c r="E29" s="2"/>
      <c r="F29" s="2"/>
      <c r="G29" s="2"/>
    </row>
    <row r="30" spans="1:7" ht="15" customHeight="1" x14ac:dyDescent="0.25">
      <c r="A30" s="2"/>
      <c r="B30" s="2"/>
      <c r="C30" s="2"/>
      <c r="D30" s="2"/>
      <c r="E30" s="2"/>
      <c r="F30" s="2"/>
      <c r="G30" s="2"/>
    </row>
    <row r="31" spans="1:7" ht="15" customHeight="1" x14ac:dyDescent="0.25">
      <c r="A31" s="2"/>
      <c r="B31" s="2"/>
      <c r="C31" s="2"/>
      <c r="D31" s="2"/>
      <c r="E31" s="2"/>
      <c r="F31" s="2"/>
      <c r="G31" s="2"/>
    </row>
    <row r="32" spans="1:7" ht="15" customHeight="1" x14ac:dyDescent="0.25">
      <c r="A32" s="2"/>
      <c r="B32" s="2"/>
      <c r="C32" s="2"/>
      <c r="D32" s="2"/>
      <c r="E32" s="2"/>
      <c r="F32" s="2"/>
      <c r="G32" s="2"/>
    </row>
    <row r="33" spans="1:7" ht="15" customHeight="1" x14ac:dyDescent="0.25">
      <c r="A33" s="2"/>
      <c r="B33" s="2"/>
      <c r="C33" s="2"/>
      <c r="D33" s="2"/>
      <c r="E33" s="2"/>
      <c r="F33" s="2"/>
      <c r="G33" s="2"/>
    </row>
    <row r="34" spans="1:7" ht="15" customHeight="1" x14ac:dyDescent="0.25">
      <c r="A34" s="2"/>
      <c r="B34" s="2"/>
      <c r="C34" s="2"/>
      <c r="D34" s="2"/>
      <c r="E34" s="2"/>
      <c r="F34" s="2"/>
      <c r="G34" s="2"/>
    </row>
    <row r="35" spans="1:7" ht="15" customHeight="1" x14ac:dyDescent="0.25">
      <c r="A35" s="2"/>
      <c r="B35" s="2"/>
      <c r="C35" s="2"/>
      <c r="D35" s="2"/>
      <c r="E35" s="2"/>
      <c r="F35" s="2"/>
      <c r="G35" s="2"/>
    </row>
    <row r="36" spans="1:7" ht="15" customHeight="1" x14ac:dyDescent="0.25">
      <c r="A36" s="2"/>
      <c r="B36" s="2"/>
      <c r="C36" s="2"/>
      <c r="D36" s="2"/>
      <c r="E36" s="2"/>
      <c r="F36" s="2"/>
      <c r="G36" s="2"/>
    </row>
    <row r="37" spans="1:7" ht="15" customHeight="1" x14ac:dyDescent="0.25">
      <c r="A37" s="2"/>
      <c r="B37" s="2"/>
      <c r="C37" s="2"/>
      <c r="D37" s="2"/>
      <c r="E37" s="2"/>
      <c r="F37" s="2"/>
      <c r="G37" s="2"/>
    </row>
    <row r="38" spans="1:7" ht="15" customHeight="1" x14ac:dyDescent="0.25">
      <c r="A38" s="2"/>
      <c r="B38" s="2"/>
      <c r="C38" s="2"/>
      <c r="D38" s="2"/>
      <c r="E38" s="2"/>
      <c r="F38" s="2"/>
      <c r="G38" s="2"/>
    </row>
    <row r="39" spans="1:7" ht="15" customHeight="1" x14ac:dyDescent="0.25">
      <c r="A39" s="2"/>
      <c r="B39" s="2"/>
      <c r="C39" s="2"/>
      <c r="D39" s="2"/>
      <c r="E39" s="2"/>
      <c r="F39" s="2"/>
      <c r="G39" s="2"/>
    </row>
    <row r="40" spans="1:7" ht="15" customHeight="1" x14ac:dyDescent="0.25">
      <c r="A40" s="2"/>
      <c r="B40" s="2"/>
      <c r="C40" s="2"/>
      <c r="D40" s="2"/>
      <c r="E40" s="2"/>
      <c r="F40" s="2"/>
      <c r="G40" s="2"/>
    </row>
    <row r="41" spans="1:7" ht="15" customHeight="1" x14ac:dyDescent="0.25">
      <c r="A41" s="2"/>
      <c r="B41" s="2"/>
      <c r="C41" s="2"/>
      <c r="D41" s="2"/>
      <c r="E41" s="2"/>
      <c r="F41" s="2"/>
      <c r="G41" s="2"/>
    </row>
    <row r="42" spans="1:7" ht="15" customHeight="1" x14ac:dyDescent="0.25">
      <c r="A42" s="2"/>
      <c r="B42" s="2"/>
      <c r="C42" s="2"/>
      <c r="D42" s="2"/>
      <c r="E42" s="2"/>
      <c r="F42" s="2"/>
      <c r="G42" s="2"/>
    </row>
    <row r="43" spans="1:7" ht="15" customHeight="1" x14ac:dyDescent="0.25">
      <c r="A43" s="2"/>
      <c r="B43" s="2"/>
      <c r="C43" s="2"/>
      <c r="D43" s="2"/>
      <c r="E43" s="2"/>
      <c r="F43" s="2"/>
      <c r="G43" s="2"/>
    </row>
    <row r="44" spans="1:7" ht="15" customHeight="1" x14ac:dyDescent="0.25">
      <c r="A44" s="2"/>
      <c r="B44" s="2"/>
      <c r="C44" s="2"/>
      <c r="D44" s="2"/>
      <c r="E44" s="2"/>
      <c r="F44" s="2"/>
      <c r="G44" s="2"/>
    </row>
    <row r="45" spans="1:7" ht="15" customHeight="1" x14ac:dyDescent="0.25">
      <c r="A45" s="2"/>
      <c r="B45" s="2"/>
      <c r="C45" s="2"/>
      <c r="D45" s="2"/>
      <c r="E45" s="2"/>
      <c r="F45" s="2"/>
      <c r="G45" s="2"/>
    </row>
    <row r="46" spans="1:7" ht="15" customHeight="1" x14ac:dyDescent="0.25">
      <c r="A46" s="2"/>
      <c r="B46" s="2"/>
      <c r="C46" s="2"/>
      <c r="D46" s="2"/>
      <c r="E46" s="2"/>
      <c r="F46" s="2"/>
      <c r="G46" s="2"/>
    </row>
    <row r="47" spans="1:7" ht="15" customHeight="1" x14ac:dyDescent="0.25">
      <c r="A47" s="2"/>
      <c r="B47" s="2"/>
      <c r="C47" s="2"/>
      <c r="D47" s="2"/>
      <c r="E47" s="2"/>
      <c r="F47" s="2"/>
      <c r="G47" s="2"/>
    </row>
    <row r="48" spans="1:7" ht="15" customHeight="1" x14ac:dyDescent="0.25">
      <c r="A48" s="2"/>
      <c r="B48" s="2"/>
      <c r="C48" s="2"/>
      <c r="D48" s="2"/>
      <c r="E48" s="2"/>
      <c r="F48" s="2"/>
      <c r="G48" s="2"/>
    </row>
    <row r="49" spans="1:7" ht="15" customHeight="1" x14ac:dyDescent="0.25">
      <c r="A49" s="2"/>
      <c r="B49" s="2"/>
      <c r="C49" s="2"/>
      <c r="D49" s="2"/>
      <c r="E49" s="2"/>
      <c r="F49" s="2"/>
      <c r="G49" s="2"/>
    </row>
    <row r="50" spans="1:7" ht="15" customHeight="1" x14ac:dyDescent="0.25">
      <c r="A50" s="2"/>
      <c r="B50" s="2"/>
      <c r="C50" s="2"/>
      <c r="D50" s="2"/>
      <c r="E50" s="2"/>
      <c r="F50" s="2"/>
      <c r="G50" s="2"/>
    </row>
    <row r="51" spans="1:7" ht="15" customHeight="1" x14ac:dyDescent="0.25">
      <c r="A51" s="2"/>
      <c r="B51" s="2"/>
      <c r="C51" s="2"/>
      <c r="D51" s="2"/>
      <c r="E51" s="2"/>
      <c r="F51" s="2"/>
      <c r="G51" s="2"/>
    </row>
    <row r="52" spans="1:7" ht="15" customHeight="1" x14ac:dyDescent="0.25">
      <c r="A52" s="2"/>
      <c r="B52" s="2"/>
      <c r="C52" s="2"/>
      <c r="D52" s="2"/>
      <c r="E52" s="2"/>
      <c r="F52" s="2"/>
      <c r="G52" s="2"/>
    </row>
    <row r="53" spans="1:7" ht="15" customHeight="1" x14ac:dyDescent="0.25">
      <c r="A53" s="2"/>
      <c r="B53" s="2"/>
      <c r="C53" s="2"/>
      <c r="D53" s="2"/>
      <c r="E53" s="2"/>
      <c r="F53" s="2"/>
      <c r="G53" s="2"/>
    </row>
    <row r="54" spans="1:7" ht="15" customHeight="1" x14ac:dyDescent="0.25">
      <c r="A54" s="2"/>
      <c r="B54" s="2"/>
      <c r="C54" s="2"/>
      <c r="D54" s="2"/>
      <c r="E54" s="2"/>
      <c r="F54" s="2"/>
      <c r="G54" s="2"/>
    </row>
    <row r="55" spans="1:7" ht="15" customHeight="1" x14ac:dyDescent="0.25">
      <c r="A55" s="2"/>
      <c r="B55" s="2"/>
      <c r="C55" s="2"/>
      <c r="D55" s="2"/>
      <c r="E55" s="2"/>
      <c r="F55" s="2"/>
      <c r="G55" s="2"/>
    </row>
    <row r="56" spans="1:7" ht="15" customHeight="1" x14ac:dyDescent="0.25">
      <c r="A56" s="2"/>
      <c r="B56" s="2"/>
      <c r="C56" s="2"/>
      <c r="D56" s="2"/>
      <c r="E56" s="2"/>
      <c r="F56" s="2"/>
      <c r="G56" s="2"/>
    </row>
    <row r="57" spans="1:7" ht="15" customHeight="1" x14ac:dyDescent="0.25">
      <c r="A57" s="2"/>
      <c r="B57" s="2"/>
      <c r="C57" s="2"/>
      <c r="D57" s="2"/>
      <c r="E57" s="2"/>
      <c r="F57" s="2"/>
      <c r="G57" s="2"/>
    </row>
    <row r="58" spans="1:7" ht="15" customHeight="1" x14ac:dyDescent="0.25">
      <c r="A58" s="2"/>
      <c r="B58" s="2"/>
      <c r="C58" s="2"/>
      <c r="D58" s="2"/>
      <c r="E58" s="2"/>
      <c r="F58" s="2"/>
      <c r="G58" s="2"/>
    </row>
    <row r="59" spans="1:7" ht="15" customHeight="1" x14ac:dyDescent="0.25">
      <c r="A59" s="2"/>
      <c r="B59" s="2"/>
      <c r="C59" s="2"/>
      <c r="D59" s="2"/>
      <c r="E59" s="2"/>
      <c r="F59" s="2"/>
      <c r="G59" s="2"/>
    </row>
    <row r="60" spans="1:7" ht="15" customHeight="1" x14ac:dyDescent="0.25">
      <c r="A60" s="2"/>
      <c r="B60" s="2"/>
      <c r="C60" s="2"/>
      <c r="D60" s="2"/>
      <c r="E60" s="2"/>
      <c r="F60" s="2"/>
      <c r="G60" s="2"/>
    </row>
    <row r="61" spans="1:7" ht="15" customHeight="1" x14ac:dyDescent="0.25">
      <c r="A61" s="2"/>
      <c r="B61" s="2"/>
      <c r="C61" s="2"/>
      <c r="D61" s="2"/>
      <c r="E61" s="2"/>
      <c r="F61" s="2"/>
      <c r="G61" s="2"/>
    </row>
    <row r="62" spans="1:7" ht="15" customHeight="1" x14ac:dyDescent="0.25">
      <c r="A62" s="2"/>
      <c r="B62" s="2"/>
      <c r="C62" s="2"/>
      <c r="D62" s="2"/>
      <c r="E62" s="2"/>
      <c r="F62" s="2"/>
      <c r="G62" s="2"/>
    </row>
    <row r="63" spans="1:7" ht="15" customHeight="1" x14ac:dyDescent="0.25">
      <c r="A63" s="2"/>
      <c r="B63" s="2"/>
      <c r="C63" s="2"/>
      <c r="D63" s="2"/>
      <c r="E63" s="2"/>
      <c r="F63" s="2"/>
      <c r="G63" s="2"/>
    </row>
    <row r="64" spans="1:7" ht="15" customHeight="1" x14ac:dyDescent="0.25">
      <c r="A64" s="2"/>
      <c r="B64" s="2"/>
      <c r="C64" s="2"/>
      <c r="D64" s="2"/>
      <c r="E64" s="2"/>
      <c r="F64" s="2"/>
      <c r="G64" s="2"/>
    </row>
    <row r="65" spans="1:7" ht="15" customHeight="1" x14ac:dyDescent="0.25">
      <c r="A65" s="2"/>
      <c r="B65" s="2"/>
      <c r="C65" s="2"/>
      <c r="D65" s="2"/>
      <c r="E65" s="2"/>
      <c r="F65" s="2"/>
      <c r="G65" s="2"/>
    </row>
    <row r="66" spans="1:7" ht="15" customHeight="1" x14ac:dyDescent="0.25">
      <c r="A66" s="2"/>
      <c r="B66" s="2"/>
      <c r="C66" s="2"/>
      <c r="D66" s="2"/>
      <c r="E66" s="2"/>
      <c r="F66" s="2"/>
      <c r="G66" s="2"/>
    </row>
    <row r="67" spans="1:7" ht="15" customHeight="1" x14ac:dyDescent="0.25">
      <c r="A67" s="2"/>
      <c r="B67" s="2"/>
      <c r="C67" s="2"/>
      <c r="D67" s="2"/>
      <c r="E67" s="2"/>
      <c r="F67" s="2"/>
      <c r="G67" s="2"/>
    </row>
    <row r="68" spans="1:7" ht="15" customHeight="1" x14ac:dyDescent="0.25">
      <c r="A68" s="2"/>
      <c r="B68" s="2"/>
      <c r="C68" s="2"/>
      <c r="D68" s="2"/>
      <c r="E68" s="2"/>
      <c r="F68" s="2"/>
      <c r="G68" s="2"/>
    </row>
    <row r="69" spans="1:7" ht="15" customHeight="1" x14ac:dyDescent="0.25">
      <c r="A69" s="2"/>
      <c r="B69" s="2"/>
      <c r="C69" s="2"/>
      <c r="D69" s="2"/>
      <c r="E69" s="2"/>
      <c r="F69" s="2"/>
      <c r="G69" s="2"/>
    </row>
    <row r="70" spans="1:7" ht="15" customHeight="1" x14ac:dyDescent="0.25">
      <c r="A70" s="2"/>
      <c r="B70" s="2"/>
      <c r="C70" s="2"/>
      <c r="D70" s="2"/>
      <c r="E70" s="2"/>
      <c r="F70" s="2"/>
      <c r="G70" s="2"/>
    </row>
    <row r="71" spans="1:7" ht="15" customHeight="1" x14ac:dyDescent="0.25">
      <c r="A71" s="2"/>
      <c r="B71" s="2"/>
      <c r="C71" s="2"/>
      <c r="D71" s="2"/>
      <c r="E71" s="2"/>
      <c r="F71" s="2"/>
      <c r="G71" s="2"/>
    </row>
    <row r="72" spans="1:7" ht="15" customHeight="1" x14ac:dyDescent="0.25">
      <c r="A72" s="2"/>
      <c r="B72" s="2"/>
      <c r="C72" s="2"/>
      <c r="D72" s="2"/>
      <c r="E72" s="2"/>
      <c r="F72" s="2"/>
      <c r="G72" s="2"/>
    </row>
    <row r="73" spans="1:7" ht="15" customHeight="1" x14ac:dyDescent="0.25">
      <c r="A73" s="2"/>
      <c r="B73" s="2"/>
      <c r="C73" s="2"/>
      <c r="D73" s="2"/>
      <c r="E73" s="2"/>
      <c r="F73" s="2"/>
      <c r="G73" s="2"/>
    </row>
    <row r="74" spans="1:7" ht="15" customHeight="1" x14ac:dyDescent="0.25">
      <c r="A74" s="2"/>
      <c r="B74" s="2"/>
      <c r="C74" s="2"/>
      <c r="D74" s="2"/>
      <c r="E74" s="2"/>
      <c r="F74" s="2"/>
      <c r="G74" s="2"/>
    </row>
    <row r="75" spans="1:7" ht="15" customHeight="1" x14ac:dyDescent="0.25">
      <c r="A75" s="2"/>
      <c r="B75" s="2"/>
      <c r="C75" s="2"/>
      <c r="D75" s="2"/>
      <c r="E75" s="2"/>
      <c r="F75" s="2"/>
      <c r="G75" s="2"/>
    </row>
    <row r="76" spans="1:7" ht="15" customHeight="1" x14ac:dyDescent="0.25">
      <c r="A76" s="2"/>
      <c r="B76" s="2"/>
      <c r="C76" s="2"/>
      <c r="D76" s="2"/>
      <c r="E76" s="2"/>
      <c r="F76" s="2"/>
      <c r="G76" s="2"/>
    </row>
    <row r="77" spans="1:7" ht="15" customHeight="1" x14ac:dyDescent="0.25">
      <c r="A77" s="2"/>
      <c r="B77" s="2"/>
      <c r="C77" s="2"/>
      <c r="D77" s="2"/>
      <c r="E77" s="2"/>
      <c r="F77" s="2"/>
      <c r="G77" s="2"/>
    </row>
    <row r="78" spans="1:7" ht="15" customHeight="1" x14ac:dyDescent="0.25">
      <c r="A78" s="2"/>
      <c r="B78" s="2"/>
      <c r="C78" s="2"/>
      <c r="D78" s="2"/>
      <c r="E78" s="2"/>
      <c r="F78" s="2"/>
      <c r="G78" s="2"/>
    </row>
    <row r="79" spans="1:7" ht="15" customHeight="1" x14ac:dyDescent="0.25">
      <c r="A79" s="2"/>
      <c r="B79" s="2"/>
      <c r="C79" s="2"/>
      <c r="D79" s="2"/>
      <c r="E79" s="2"/>
      <c r="F79" s="2"/>
      <c r="G79" s="2"/>
    </row>
    <row r="80" spans="1:7" ht="15" customHeight="1" x14ac:dyDescent="0.25">
      <c r="A80" s="2"/>
      <c r="B80" s="2"/>
      <c r="C80" s="2"/>
      <c r="D80" s="2"/>
      <c r="E80" s="2"/>
      <c r="F80" s="2"/>
      <c r="G80" s="2"/>
    </row>
  </sheetData>
  <conditionalFormatting sqref="C2:C13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{4031E7B9-7F02-C4AA-69CC-7802E91738F8}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31E7B9-7F02-C4AA-69CC-7802E91738F8}">
            <x14:dataBar>
              <x14:cfvo type="min"/>
              <x14:cfvo type="max"/>
              <x14:negativeFillColor auto="1"/>
              <x14:axisColor auto="1"/>
            </x14:dataBar>
          </x14:cfRule>
          <xm:sqref>C2:C13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"/>
  <sheetViews>
    <sheetView workbookViewId="0"/>
  </sheetViews>
  <sheetFormatPr defaultRowHeight="15" x14ac:dyDescent="0.25"/>
  <cols>
    <col min="1" max="1" width="34" customWidth="1"/>
    <col min="2" max="7" width="20" customWidth="1"/>
  </cols>
  <sheetData>
    <row r="1" spans="1:7" ht="52.7" customHeight="1" x14ac:dyDescent="0.25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/>
    </row>
    <row r="2" spans="1:7" ht="15" customHeight="1" x14ac:dyDescent="0.25">
      <c r="A2" s="2">
        <v>0</v>
      </c>
      <c r="B2" s="6">
        <f>-Эффективность!C11</f>
        <v>-42050</v>
      </c>
      <c r="C2" s="6">
        <v>0</v>
      </c>
      <c r="D2" s="6">
        <f>B2+C2</f>
        <v>-42050</v>
      </c>
      <c r="E2" s="9">
        <v>1</v>
      </c>
      <c r="F2" s="6">
        <f>D2*E2</f>
        <v>-42050</v>
      </c>
      <c r="G2" s="2"/>
    </row>
    <row r="3" spans="1:7" ht="15" customHeight="1" x14ac:dyDescent="0.25">
      <c r="A3" s="2">
        <v>1</v>
      </c>
      <c r="B3" s="6">
        <v>0</v>
      </c>
      <c r="C3" s="6">
        <f>Эффективность!C10</f>
        <v>45728.583333333343</v>
      </c>
      <c r="D3" s="6">
        <f>B3+C3</f>
        <v>45728.583333333343</v>
      </c>
      <c r="E3" s="9">
        <f>1/(1+Исходные_данные!$B$13)^A3</f>
        <v>0.89285714285714279</v>
      </c>
      <c r="F3" s="6">
        <f>D3*E3</f>
        <v>40829.092261904771</v>
      </c>
      <c r="G3" s="2"/>
    </row>
    <row r="4" spans="1:7" ht="15" customHeight="1" x14ac:dyDescent="0.25">
      <c r="A4" s="2">
        <v>2</v>
      </c>
      <c r="B4" s="6">
        <v>0</v>
      </c>
      <c r="C4" s="6">
        <f>Эффективность!C10</f>
        <v>45728.583333333343</v>
      </c>
      <c r="D4" s="6">
        <f>B4+C4</f>
        <v>45728.583333333343</v>
      </c>
      <c r="E4" s="9">
        <f>1/(1+Исходные_данные!$B$13)^A4</f>
        <v>0.79719387755102034</v>
      </c>
      <c r="F4" s="6">
        <f>D4*E4</f>
        <v>36454.54666241497</v>
      </c>
      <c r="G4" s="2"/>
    </row>
    <row r="5" spans="1:7" ht="15" customHeight="1" x14ac:dyDescent="0.25">
      <c r="A5" s="2">
        <v>3</v>
      </c>
      <c r="B5" s="6">
        <v>0</v>
      </c>
      <c r="C5" s="6">
        <f>Эффективность!C10</f>
        <v>45728.583333333343</v>
      </c>
      <c r="D5" s="6">
        <f>B5+C5</f>
        <v>45728.583333333343</v>
      </c>
      <c r="E5" s="9">
        <f>1/(1+Исходные_данные!$B$13)^A5</f>
        <v>0.71178024781341087</v>
      </c>
      <c r="F5" s="6">
        <f>D5*E5</f>
        <v>32548.702377156216</v>
      </c>
      <c r="G5" s="2"/>
    </row>
    <row r="6" spans="1:7" ht="15" customHeight="1" x14ac:dyDescent="0.25">
      <c r="A6" s="2"/>
      <c r="B6" s="2"/>
      <c r="C6" s="2"/>
      <c r="D6" s="2"/>
      <c r="E6" s="2"/>
      <c r="F6" s="2"/>
      <c r="G6" s="2"/>
    </row>
    <row r="7" spans="1:7" ht="26.45" customHeight="1" x14ac:dyDescent="0.25">
      <c r="A7" s="2" t="s">
        <v>100</v>
      </c>
      <c r="B7" s="2" t="s">
        <v>1</v>
      </c>
      <c r="C7" s="2"/>
      <c r="D7" s="2"/>
      <c r="E7" s="2"/>
      <c r="F7" s="2"/>
      <c r="G7" s="2"/>
    </row>
    <row r="8" spans="1:7" ht="26.45" customHeight="1" x14ac:dyDescent="0.25">
      <c r="A8" s="2" t="s">
        <v>140</v>
      </c>
      <c r="B8" s="6">
        <f>SUM(F2:F5)</f>
        <v>67782.341301475957</v>
      </c>
      <c r="C8" s="2"/>
      <c r="D8" s="2"/>
      <c r="E8" s="2"/>
      <c r="F8" s="2"/>
      <c r="G8" s="2"/>
    </row>
    <row r="9" spans="1:7" ht="39.6" customHeight="1" x14ac:dyDescent="0.25">
      <c r="A9" s="2" t="s">
        <v>141</v>
      </c>
      <c r="B9" s="8">
        <f>SUM(F3:F5)/ABS(F2)</f>
        <v>2.6119462854096538</v>
      </c>
      <c r="C9" s="2"/>
      <c r="D9" s="2"/>
      <c r="E9" s="2"/>
      <c r="F9" s="2"/>
      <c r="G9" s="2"/>
    </row>
    <row r="10" spans="1:7" ht="15" customHeight="1" x14ac:dyDescent="0.25">
      <c r="A10" s="2"/>
      <c r="B10" s="2"/>
      <c r="C10" s="2"/>
      <c r="D10" s="2"/>
      <c r="E10" s="2"/>
      <c r="F10" s="2"/>
      <c r="G10" s="2"/>
    </row>
    <row r="11" spans="1:7" ht="15" customHeight="1" x14ac:dyDescent="0.25">
      <c r="A11" s="2"/>
      <c r="B11" s="2"/>
      <c r="C11" s="2"/>
      <c r="D11" s="2"/>
      <c r="E11" s="2"/>
      <c r="F11" s="2"/>
      <c r="G11" s="2"/>
    </row>
    <row r="12" spans="1:7" ht="15" customHeight="1" x14ac:dyDescent="0.25">
      <c r="A12" s="2"/>
      <c r="B12" s="2"/>
      <c r="C12" s="2"/>
      <c r="D12" s="2"/>
      <c r="E12" s="2"/>
      <c r="F12" s="2"/>
      <c r="G12" s="2"/>
    </row>
    <row r="13" spans="1:7" ht="15" customHeight="1" x14ac:dyDescent="0.25">
      <c r="A13" s="2"/>
      <c r="B13" s="2"/>
      <c r="C13" s="2"/>
      <c r="D13" s="2"/>
      <c r="E13" s="2"/>
      <c r="F13" s="2"/>
      <c r="G13" s="2"/>
    </row>
    <row r="14" spans="1:7" ht="15" customHeight="1" x14ac:dyDescent="0.25">
      <c r="A14" s="2"/>
      <c r="B14" s="2"/>
      <c r="C14" s="2"/>
      <c r="D14" s="2"/>
      <c r="E14" s="2"/>
      <c r="F14" s="2"/>
      <c r="G14" s="2"/>
    </row>
    <row r="15" spans="1:7" ht="15" customHeight="1" x14ac:dyDescent="0.25">
      <c r="A15" s="2"/>
      <c r="B15" s="2"/>
      <c r="C15" s="2"/>
      <c r="D15" s="2"/>
      <c r="E15" s="2"/>
      <c r="F15" s="2"/>
      <c r="G15" s="2"/>
    </row>
    <row r="16" spans="1:7" ht="15" customHeight="1" x14ac:dyDescent="0.25">
      <c r="A16" s="2"/>
      <c r="B16" s="2"/>
      <c r="C16" s="2"/>
      <c r="D16" s="2"/>
      <c r="E16" s="2"/>
      <c r="F16" s="2"/>
      <c r="G16" s="2"/>
    </row>
    <row r="17" spans="1:7" ht="15" customHeight="1" x14ac:dyDescent="0.25">
      <c r="A17" s="2"/>
      <c r="B17" s="2"/>
      <c r="C17" s="2"/>
      <c r="D17" s="2"/>
      <c r="E17" s="2"/>
      <c r="F17" s="2"/>
      <c r="G17" s="2"/>
    </row>
    <row r="18" spans="1:7" ht="15" customHeight="1" x14ac:dyDescent="0.25">
      <c r="A18" s="2"/>
      <c r="B18" s="2"/>
      <c r="C18" s="2"/>
      <c r="D18" s="2"/>
      <c r="E18" s="2"/>
      <c r="F18" s="2"/>
      <c r="G18" s="2"/>
    </row>
    <row r="19" spans="1:7" ht="15" customHeight="1" x14ac:dyDescent="0.25">
      <c r="A19" s="2"/>
      <c r="B19" s="2"/>
      <c r="C19" s="2"/>
      <c r="D19" s="2"/>
      <c r="E19" s="2"/>
      <c r="F19" s="2"/>
      <c r="G19" s="2"/>
    </row>
    <row r="20" spans="1:7" ht="15" customHeight="1" x14ac:dyDescent="0.25">
      <c r="A20" s="2"/>
      <c r="B20" s="2"/>
      <c r="C20" s="2"/>
      <c r="D20" s="2"/>
      <c r="E20" s="2"/>
      <c r="F20" s="2"/>
      <c r="G20" s="2"/>
    </row>
    <row r="21" spans="1:7" ht="15" customHeight="1" x14ac:dyDescent="0.25">
      <c r="A21" s="2"/>
      <c r="B21" s="2"/>
      <c r="C21" s="2"/>
      <c r="D21" s="2"/>
      <c r="E21" s="2"/>
      <c r="F21" s="2"/>
      <c r="G21" s="2"/>
    </row>
    <row r="22" spans="1:7" ht="15" customHeight="1" x14ac:dyDescent="0.25">
      <c r="A22" s="2"/>
      <c r="B22" s="2"/>
      <c r="C22" s="2"/>
      <c r="D22" s="2"/>
      <c r="E22" s="2"/>
      <c r="F22" s="2"/>
      <c r="G22" s="2"/>
    </row>
    <row r="23" spans="1:7" ht="15" customHeight="1" x14ac:dyDescent="0.25">
      <c r="A23" s="2"/>
      <c r="B23" s="2"/>
      <c r="C23" s="2"/>
      <c r="D23" s="2"/>
      <c r="E23" s="2"/>
      <c r="F23" s="2"/>
      <c r="G23" s="2"/>
    </row>
    <row r="24" spans="1:7" ht="15" customHeight="1" x14ac:dyDescent="0.25">
      <c r="A24" s="2"/>
      <c r="B24" s="2"/>
      <c r="C24" s="2"/>
      <c r="D24" s="2"/>
      <c r="E24" s="2"/>
      <c r="F24" s="2"/>
      <c r="G24" s="2"/>
    </row>
    <row r="25" spans="1:7" ht="15" customHeight="1" x14ac:dyDescent="0.25">
      <c r="A25" s="2"/>
      <c r="B25" s="2"/>
      <c r="C25" s="2"/>
      <c r="D25" s="2"/>
      <c r="E25" s="2"/>
      <c r="F25" s="2"/>
      <c r="G25" s="2"/>
    </row>
    <row r="26" spans="1:7" ht="15" customHeight="1" x14ac:dyDescent="0.25">
      <c r="A26" s="2"/>
      <c r="B26" s="2"/>
      <c r="C26" s="2"/>
      <c r="D26" s="2"/>
      <c r="E26" s="2"/>
      <c r="F26" s="2"/>
      <c r="G26" s="2"/>
    </row>
    <row r="27" spans="1:7" ht="15" customHeight="1" x14ac:dyDescent="0.25">
      <c r="A27" s="2"/>
      <c r="B27" s="2"/>
      <c r="C27" s="2"/>
      <c r="D27" s="2"/>
      <c r="E27" s="2"/>
      <c r="F27" s="2"/>
      <c r="G27" s="2"/>
    </row>
    <row r="28" spans="1:7" ht="15" customHeight="1" x14ac:dyDescent="0.25">
      <c r="A28" s="2"/>
      <c r="B28" s="2"/>
      <c r="C28" s="2"/>
      <c r="D28" s="2"/>
      <c r="E28" s="2"/>
      <c r="F28" s="2"/>
      <c r="G28" s="2"/>
    </row>
    <row r="29" spans="1:7" ht="15" customHeight="1" x14ac:dyDescent="0.25">
      <c r="A29" s="2"/>
      <c r="B29" s="2"/>
      <c r="C29" s="2"/>
      <c r="D29" s="2"/>
      <c r="E29" s="2"/>
      <c r="F29" s="2"/>
      <c r="G29" s="2"/>
    </row>
    <row r="30" spans="1:7" ht="15" customHeight="1" x14ac:dyDescent="0.25">
      <c r="A30" s="2"/>
      <c r="B30" s="2"/>
      <c r="C30" s="2"/>
      <c r="D30" s="2"/>
      <c r="E30" s="2"/>
      <c r="F30" s="2"/>
      <c r="G30" s="2"/>
    </row>
    <row r="31" spans="1:7" ht="15" customHeight="1" x14ac:dyDescent="0.25">
      <c r="A31" s="2"/>
      <c r="B31" s="2"/>
      <c r="C31" s="2"/>
      <c r="D31" s="2"/>
      <c r="E31" s="2"/>
      <c r="F31" s="2"/>
      <c r="G31" s="2"/>
    </row>
    <row r="32" spans="1:7" ht="15" customHeight="1" x14ac:dyDescent="0.25">
      <c r="A32" s="2"/>
      <c r="B32" s="2"/>
      <c r="C32" s="2"/>
      <c r="D32" s="2"/>
      <c r="E32" s="2"/>
      <c r="F32" s="2"/>
      <c r="G32" s="2"/>
    </row>
    <row r="33" spans="1:7" ht="15" customHeight="1" x14ac:dyDescent="0.25">
      <c r="A33" s="2"/>
      <c r="B33" s="2"/>
      <c r="C33" s="2"/>
      <c r="D33" s="2"/>
      <c r="E33" s="2"/>
      <c r="F33" s="2"/>
      <c r="G33" s="2"/>
    </row>
    <row r="34" spans="1:7" ht="15" customHeight="1" x14ac:dyDescent="0.25">
      <c r="A34" s="2"/>
      <c r="B34" s="2"/>
      <c r="C34" s="2"/>
      <c r="D34" s="2"/>
      <c r="E34" s="2"/>
      <c r="F34" s="2"/>
      <c r="G34" s="2"/>
    </row>
    <row r="35" spans="1:7" ht="15" customHeight="1" x14ac:dyDescent="0.25">
      <c r="A35" s="2"/>
      <c r="B35" s="2"/>
      <c r="C35" s="2"/>
      <c r="D35" s="2"/>
      <c r="E35" s="2"/>
      <c r="F35" s="2"/>
      <c r="G35" s="2"/>
    </row>
    <row r="36" spans="1:7" ht="15" customHeight="1" x14ac:dyDescent="0.25">
      <c r="A36" s="2"/>
      <c r="B36" s="2"/>
      <c r="C36" s="2"/>
      <c r="D36" s="2"/>
      <c r="E36" s="2"/>
      <c r="F36" s="2"/>
      <c r="G36" s="2"/>
    </row>
    <row r="37" spans="1:7" ht="15" customHeight="1" x14ac:dyDescent="0.25">
      <c r="A37" s="2"/>
      <c r="B37" s="2"/>
      <c r="C37" s="2"/>
      <c r="D37" s="2"/>
      <c r="E37" s="2"/>
      <c r="F37" s="2"/>
      <c r="G37" s="2"/>
    </row>
    <row r="38" spans="1:7" ht="15" customHeight="1" x14ac:dyDescent="0.25">
      <c r="A38" s="2"/>
      <c r="B38" s="2"/>
      <c r="C38" s="2"/>
      <c r="D38" s="2"/>
      <c r="E38" s="2"/>
      <c r="F38" s="2"/>
      <c r="G38" s="2"/>
    </row>
    <row r="39" spans="1:7" ht="15" customHeight="1" x14ac:dyDescent="0.25">
      <c r="A39" s="2"/>
      <c r="B39" s="2"/>
      <c r="C39" s="2"/>
      <c r="D39" s="2"/>
      <c r="E39" s="2"/>
      <c r="F39" s="2"/>
      <c r="G39" s="2"/>
    </row>
    <row r="40" spans="1:7" ht="15" customHeight="1" x14ac:dyDescent="0.25">
      <c r="A40" s="2"/>
      <c r="B40" s="2"/>
      <c r="C40" s="2"/>
      <c r="D40" s="2"/>
      <c r="E40" s="2"/>
      <c r="F40" s="2"/>
      <c r="G40" s="2"/>
    </row>
    <row r="41" spans="1:7" ht="15" customHeight="1" x14ac:dyDescent="0.25">
      <c r="A41" s="2"/>
      <c r="B41" s="2"/>
      <c r="C41" s="2"/>
      <c r="D41" s="2"/>
      <c r="E41" s="2"/>
      <c r="F41" s="2"/>
      <c r="G41" s="2"/>
    </row>
    <row r="42" spans="1:7" ht="15" customHeight="1" x14ac:dyDescent="0.25">
      <c r="A42" s="2"/>
      <c r="B42" s="2"/>
      <c r="C42" s="2"/>
      <c r="D42" s="2"/>
      <c r="E42" s="2"/>
      <c r="F42" s="2"/>
      <c r="G42" s="2"/>
    </row>
    <row r="43" spans="1:7" ht="15" customHeight="1" x14ac:dyDescent="0.25">
      <c r="A43" s="2"/>
      <c r="B43" s="2"/>
      <c r="C43" s="2"/>
      <c r="D43" s="2"/>
      <c r="E43" s="2"/>
      <c r="F43" s="2"/>
      <c r="G43" s="2"/>
    </row>
    <row r="44" spans="1:7" ht="15" customHeight="1" x14ac:dyDescent="0.25">
      <c r="A44" s="2"/>
      <c r="B44" s="2"/>
      <c r="C44" s="2"/>
      <c r="D44" s="2"/>
      <c r="E44" s="2"/>
      <c r="F44" s="2"/>
      <c r="G44" s="2"/>
    </row>
    <row r="45" spans="1:7" ht="15" customHeight="1" x14ac:dyDescent="0.25">
      <c r="A45" s="2"/>
      <c r="B45" s="2"/>
      <c r="C45" s="2"/>
      <c r="D45" s="2"/>
      <c r="E45" s="2"/>
      <c r="F45" s="2"/>
      <c r="G45" s="2"/>
    </row>
    <row r="46" spans="1:7" ht="15" customHeight="1" x14ac:dyDescent="0.25">
      <c r="A46" s="2"/>
      <c r="B46" s="2"/>
      <c r="C46" s="2"/>
      <c r="D46" s="2"/>
      <c r="E46" s="2"/>
      <c r="F46" s="2"/>
      <c r="G46" s="2"/>
    </row>
    <row r="47" spans="1:7" ht="15" customHeight="1" x14ac:dyDescent="0.25">
      <c r="A47" s="2"/>
      <c r="B47" s="2"/>
      <c r="C47" s="2"/>
      <c r="D47" s="2"/>
      <c r="E47" s="2"/>
      <c r="F47" s="2"/>
      <c r="G47" s="2"/>
    </row>
    <row r="48" spans="1:7" ht="15" customHeight="1" x14ac:dyDescent="0.25">
      <c r="A48" s="2"/>
      <c r="B48" s="2"/>
      <c r="C48" s="2"/>
      <c r="D48" s="2"/>
      <c r="E48" s="2"/>
      <c r="F48" s="2"/>
      <c r="G48" s="2"/>
    </row>
    <row r="49" spans="1:7" ht="15" customHeight="1" x14ac:dyDescent="0.25">
      <c r="A49" s="2"/>
      <c r="B49" s="2"/>
      <c r="C49" s="2"/>
      <c r="D49" s="2"/>
      <c r="E49" s="2"/>
      <c r="F49" s="2"/>
      <c r="G49" s="2"/>
    </row>
    <row r="50" spans="1:7" ht="15" customHeight="1" x14ac:dyDescent="0.25">
      <c r="A50" s="2"/>
      <c r="B50" s="2"/>
      <c r="C50" s="2"/>
      <c r="D50" s="2"/>
      <c r="E50" s="2"/>
      <c r="F50" s="2"/>
      <c r="G50" s="2"/>
    </row>
    <row r="51" spans="1:7" ht="15" customHeight="1" x14ac:dyDescent="0.25">
      <c r="A51" s="2"/>
      <c r="B51" s="2"/>
      <c r="C51" s="2"/>
      <c r="D51" s="2"/>
      <c r="E51" s="2"/>
      <c r="F51" s="2"/>
      <c r="G51" s="2"/>
    </row>
    <row r="52" spans="1:7" ht="15" customHeight="1" x14ac:dyDescent="0.25">
      <c r="A52" s="2"/>
      <c r="B52" s="2"/>
      <c r="C52" s="2"/>
      <c r="D52" s="2"/>
      <c r="E52" s="2"/>
      <c r="F52" s="2"/>
      <c r="G52" s="2"/>
    </row>
    <row r="53" spans="1:7" ht="15" customHeight="1" x14ac:dyDescent="0.25">
      <c r="A53" s="2"/>
      <c r="B53" s="2"/>
      <c r="C53" s="2"/>
      <c r="D53" s="2"/>
      <c r="E53" s="2"/>
      <c r="F53" s="2"/>
      <c r="G53" s="2"/>
    </row>
    <row r="54" spans="1:7" ht="15" customHeight="1" x14ac:dyDescent="0.25">
      <c r="A54" s="2"/>
      <c r="B54" s="2"/>
      <c r="C54" s="2"/>
      <c r="D54" s="2"/>
      <c r="E54" s="2"/>
      <c r="F54" s="2"/>
      <c r="G54" s="2"/>
    </row>
    <row r="55" spans="1:7" ht="15" customHeight="1" x14ac:dyDescent="0.25">
      <c r="A55" s="2"/>
      <c r="B55" s="2"/>
      <c r="C55" s="2"/>
      <c r="D55" s="2"/>
      <c r="E55" s="2"/>
      <c r="F55" s="2"/>
      <c r="G55" s="2"/>
    </row>
    <row r="56" spans="1:7" ht="15" customHeight="1" x14ac:dyDescent="0.25">
      <c r="A56" s="2"/>
      <c r="B56" s="2"/>
      <c r="C56" s="2"/>
      <c r="D56" s="2"/>
      <c r="E56" s="2"/>
      <c r="F56" s="2"/>
      <c r="G56" s="2"/>
    </row>
    <row r="57" spans="1:7" ht="15" customHeight="1" x14ac:dyDescent="0.25">
      <c r="A57" s="2"/>
      <c r="B57" s="2"/>
      <c r="C57" s="2"/>
      <c r="D57" s="2"/>
      <c r="E57" s="2"/>
      <c r="F57" s="2"/>
      <c r="G57" s="2"/>
    </row>
    <row r="58" spans="1:7" ht="15" customHeight="1" x14ac:dyDescent="0.25">
      <c r="A58" s="2"/>
      <c r="B58" s="2"/>
      <c r="C58" s="2"/>
      <c r="D58" s="2"/>
      <c r="E58" s="2"/>
      <c r="F58" s="2"/>
      <c r="G58" s="2"/>
    </row>
    <row r="59" spans="1:7" ht="15" customHeight="1" x14ac:dyDescent="0.25">
      <c r="A59" s="2"/>
      <c r="B59" s="2"/>
      <c r="C59" s="2"/>
      <c r="D59" s="2"/>
      <c r="E59" s="2"/>
      <c r="F59" s="2"/>
      <c r="G59" s="2"/>
    </row>
    <row r="60" spans="1:7" ht="15" customHeight="1" x14ac:dyDescent="0.25">
      <c r="A60" s="2"/>
      <c r="B60" s="2"/>
      <c r="C60" s="2"/>
      <c r="D60" s="2"/>
      <c r="E60" s="2"/>
      <c r="F60" s="2"/>
      <c r="G60" s="2"/>
    </row>
    <row r="61" spans="1:7" ht="15" customHeight="1" x14ac:dyDescent="0.25">
      <c r="A61" s="2"/>
      <c r="B61" s="2"/>
      <c r="C61" s="2"/>
      <c r="D61" s="2"/>
      <c r="E61" s="2"/>
      <c r="F61" s="2"/>
      <c r="G61" s="2"/>
    </row>
    <row r="62" spans="1:7" ht="15" customHeight="1" x14ac:dyDescent="0.25">
      <c r="A62" s="2"/>
      <c r="B62" s="2"/>
      <c r="C62" s="2"/>
      <c r="D62" s="2"/>
      <c r="E62" s="2"/>
      <c r="F62" s="2"/>
      <c r="G62" s="2"/>
    </row>
    <row r="63" spans="1:7" ht="15" customHeight="1" x14ac:dyDescent="0.25">
      <c r="A63" s="2"/>
      <c r="B63" s="2"/>
      <c r="C63" s="2"/>
      <c r="D63" s="2"/>
      <c r="E63" s="2"/>
      <c r="F63" s="2"/>
      <c r="G63" s="2"/>
    </row>
    <row r="64" spans="1:7" ht="15" customHeight="1" x14ac:dyDescent="0.25">
      <c r="A64" s="2"/>
      <c r="B64" s="2"/>
      <c r="C64" s="2"/>
      <c r="D64" s="2"/>
      <c r="E64" s="2"/>
      <c r="F64" s="2"/>
      <c r="G64" s="2"/>
    </row>
    <row r="65" spans="1:7" ht="15" customHeight="1" x14ac:dyDescent="0.25">
      <c r="A65" s="2"/>
      <c r="B65" s="2"/>
      <c r="C65" s="2"/>
      <c r="D65" s="2"/>
      <c r="E65" s="2"/>
      <c r="F65" s="2"/>
      <c r="G65" s="2"/>
    </row>
    <row r="66" spans="1:7" ht="15" customHeight="1" x14ac:dyDescent="0.25">
      <c r="A66" s="2"/>
      <c r="B66" s="2"/>
      <c r="C66" s="2"/>
      <c r="D66" s="2"/>
      <c r="E66" s="2"/>
      <c r="F66" s="2"/>
      <c r="G66" s="2"/>
    </row>
    <row r="67" spans="1:7" ht="15" customHeight="1" x14ac:dyDescent="0.25">
      <c r="A67" s="2"/>
      <c r="B67" s="2"/>
      <c r="C67" s="2"/>
      <c r="D67" s="2"/>
      <c r="E67" s="2"/>
      <c r="F67" s="2"/>
      <c r="G67" s="2"/>
    </row>
    <row r="68" spans="1:7" ht="15" customHeight="1" x14ac:dyDescent="0.25">
      <c r="A68" s="2"/>
      <c r="B68" s="2"/>
      <c r="C68" s="2"/>
      <c r="D68" s="2"/>
      <c r="E68" s="2"/>
      <c r="F68" s="2"/>
      <c r="G68" s="2"/>
    </row>
    <row r="69" spans="1:7" ht="15" customHeight="1" x14ac:dyDescent="0.25">
      <c r="A69" s="2"/>
      <c r="B69" s="2"/>
      <c r="C69" s="2"/>
      <c r="D69" s="2"/>
      <c r="E69" s="2"/>
      <c r="F69" s="2"/>
      <c r="G69" s="2"/>
    </row>
    <row r="70" spans="1:7" ht="15" customHeight="1" x14ac:dyDescent="0.25">
      <c r="A70" s="2"/>
      <c r="B70" s="2"/>
      <c r="C70" s="2"/>
      <c r="D70" s="2"/>
      <c r="E70" s="2"/>
      <c r="F70" s="2"/>
      <c r="G70" s="2"/>
    </row>
    <row r="71" spans="1:7" ht="15" customHeight="1" x14ac:dyDescent="0.25">
      <c r="A71" s="2"/>
      <c r="B71" s="2"/>
      <c r="C71" s="2"/>
      <c r="D71" s="2"/>
      <c r="E71" s="2"/>
      <c r="F71" s="2"/>
      <c r="G71" s="2"/>
    </row>
    <row r="72" spans="1:7" ht="15" customHeight="1" x14ac:dyDescent="0.25">
      <c r="A72" s="2"/>
      <c r="B72" s="2"/>
      <c r="C72" s="2"/>
      <c r="D72" s="2"/>
      <c r="E72" s="2"/>
      <c r="F72" s="2"/>
      <c r="G72" s="2"/>
    </row>
    <row r="73" spans="1:7" ht="15" customHeight="1" x14ac:dyDescent="0.25">
      <c r="A73" s="2"/>
      <c r="B73" s="2"/>
      <c r="C73" s="2"/>
      <c r="D73" s="2"/>
      <c r="E73" s="2"/>
      <c r="F73" s="2"/>
      <c r="G73" s="2"/>
    </row>
    <row r="74" spans="1:7" ht="15" customHeight="1" x14ac:dyDescent="0.25">
      <c r="A74" s="2"/>
      <c r="B74" s="2"/>
      <c r="C74" s="2"/>
      <c r="D74" s="2"/>
      <c r="E74" s="2"/>
      <c r="F74" s="2"/>
      <c r="G74" s="2"/>
    </row>
    <row r="75" spans="1:7" ht="15" customHeight="1" x14ac:dyDescent="0.25">
      <c r="A75" s="2"/>
      <c r="B75" s="2"/>
      <c r="C75" s="2"/>
      <c r="D75" s="2"/>
      <c r="E75" s="2"/>
      <c r="F75" s="2"/>
      <c r="G75" s="2"/>
    </row>
    <row r="76" spans="1:7" ht="15" customHeight="1" x14ac:dyDescent="0.25">
      <c r="A76" s="2"/>
      <c r="B76" s="2"/>
      <c r="C76" s="2"/>
      <c r="D76" s="2"/>
      <c r="E76" s="2"/>
      <c r="F76" s="2"/>
      <c r="G76" s="2"/>
    </row>
    <row r="77" spans="1:7" ht="15" customHeight="1" x14ac:dyDescent="0.25">
      <c r="A77" s="2"/>
      <c r="B77" s="2"/>
      <c r="C77" s="2"/>
      <c r="D77" s="2"/>
      <c r="E77" s="2"/>
      <c r="F77" s="2"/>
      <c r="G77" s="2"/>
    </row>
    <row r="78" spans="1:7" ht="15" customHeight="1" x14ac:dyDescent="0.25">
      <c r="A78" s="2"/>
      <c r="B78" s="2"/>
      <c r="C78" s="2"/>
      <c r="D78" s="2"/>
      <c r="E78" s="2"/>
      <c r="F78" s="2"/>
      <c r="G78" s="2"/>
    </row>
    <row r="79" spans="1:7" ht="15" customHeight="1" x14ac:dyDescent="0.25">
      <c r="A79" s="2"/>
      <c r="B79" s="2"/>
      <c r="C79" s="2"/>
      <c r="D79" s="2"/>
      <c r="E79" s="2"/>
      <c r="F79" s="2"/>
      <c r="G79" s="2"/>
    </row>
    <row r="80" spans="1:7" ht="15" customHeight="1" x14ac:dyDescent="0.25">
      <c r="A80" s="2"/>
      <c r="B80" s="2"/>
      <c r="C80" s="2"/>
      <c r="D80" s="2"/>
      <c r="E80" s="2"/>
      <c r="F80" s="2"/>
      <c r="G8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0"/>
  <sheetViews>
    <sheetView workbookViewId="0"/>
  </sheetViews>
  <sheetFormatPr defaultRowHeight="15" x14ac:dyDescent="0.25"/>
  <cols>
    <col min="1" max="1" width="34" customWidth="1"/>
    <col min="2" max="7" width="20" customWidth="1"/>
  </cols>
  <sheetData>
    <row r="1" spans="1:7" ht="52.7" customHeight="1" x14ac:dyDescent="0.25">
      <c r="A1" s="1" t="s">
        <v>142</v>
      </c>
      <c r="B1" s="1" t="s">
        <v>143</v>
      </c>
      <c r="C1" s="1" t="s">
        <v>144</v>
      </c>
      <c r="D1" s="1" t="s">
        <v>120</v>
      </c>
      <c r="E1" s="1" t="s">
        <v>145</v>
      </c>
      <c r="F1" s="1"/>
      <c r="G1" s="1"/>
    </row>
    <row r="2" spans="1:7" ht="26.45" customHeight="1" x14ac:dyDescent="0.25">
      <c r="A2" s="2" t="s">
        <v>146</v>
      </c>
      <c r="B2" s="5">
        <v>100</v>
      </c>
      <c r="C2" s="6">
        <f>B2*Эффективность!C4</f>
        <v>28000</v>
      </c>
      <c r="D2" s="6">
        <f>C2+Эффективность!C6+(B2*Исходные_данные!B14*Исходные_данные!B15/60*Исходные_данные!B5)-Эффективность!C9</f>
        <v>35033.333333333336</v>
      </c>
      <c r="E2" s="5">
        <f>Эффективность!C11/D2*12</f>
        <v>14.403425309229306</v>
      </c>
      <c r="F2" s="2"/>
      <c r="G2" s="2"/>
    </row>
    <row r="3" spans="1:7" ht="15" customHeight="1" x14ac:dyDescent="0.25">
      <c r="A3" s="2" t="s">
        <v>147</v>
      </c>
      <c r="B3" s="5">
        <f>Эффективность!C2</f>
        <v>135.85000000000002</v>
      </c>
      <c r="C3" s="6">
        <f>B3*Эффективность!C4</f>
        <v>38038.000000000007</v>
      </c>
      <c r="D3" s="6">
        <f>C3+Эффективность!C6+(B3*Исходные_данные!B14*Исходные_данные!B15/60*Исходные_данные!B5)-Эффективность!C9</f>
        <v>45728.583333333343</v>
      </c>
      <c r="E3" s="5">
        <f>Эффективность!C11/D3*12</f>
        <v>11.034673790827398</v>
      </c>
      <c r="F3" s="2"/>
      <c r="G3" s="2"/>
    </row>
    <row r="4" spans="1:7" ht="26.45" customHeight="1" x14ac:dyDescent="0.25">
      <c r="A4" s="2" t="s">
        <v>148</v>
      </c>
      <c r="B4" s="5">
        <v>170</v>
      </c>
      <c r="C4" s="6">
        <f>B4*Эффективность!C4</f>
        <v>47600</v>
      </c>
      <c r="D4" s="6">
        <f>C4+Эффективность!C6+(B4*Исходные_данные!B14*Исходные_данные!B15/60*Исходные_данные!B5)-Эффективность!C9</f>
        <v>55916.666666666664</v>
      </c>
      <c r="E4" s="5">
        <f>Эффективность!C11/D4*12</f>
        <v>9.0241430700447101</v>
      </c>
      <c r="F4" s="2"/>
      <c r="G4" s="2"/>
    </row>
    <row r="5" spans="1:7" ht="15" customHeight="1" x14ac:dyDescent="0.25">
      <c r="A5" s="2"/>
      <c r="B5" s="2"/>
      <c r="C5" s="2"/>
      <c r="D5" s="2"/>
      <c r="E5" s="2"/>
      <c r="F5" s="2"/>
      <c r="G5" s="2"/>
    </row>
    <row r="6" spans="1:7" ht="15" customHeight="1" x14ac:dyDescent="0.25">
      <c r="A6" s="2"/>
      <c r="B6" s="2"/>
      <c r="C6" s="2"/>
      <c r="D6" s="2"/>
      <c r="E6" s="2"/>
      <c r="F6" s="2"/>
      <c r="G6" s="2"/>
    </row>
    <row r="7" spans="1:7" ht="15" customHeight="1" x14ac:dyDescent="0.25">
      <c r="A7" s="2"/>
      <c r="B7" s="2"/>
      <c r="C7" s="2"/>
      <c r="D7" s="2"/>
      <c r="E7" s="2"/>
      <c r="F7" s="2"/>
      <c r="G7" s="2"/>
    </row>
    <row r="8" spans="1:7" ht="15" customHeight="1" x14ac:dyDescent="0.25">
      <c r="A8" s="2"/>
      <c r="B8" s="2"/>
      <c r="C8" s="2"/>
      <c r="D8" s="2"/>
      <c r="E8" s="2"/>
      <c r="F8" s="2"/>
      <c r="G8" s="2"/>
    </row>
    <row r="9" spans="1:7" ht="15" customHeight="1" x14ac:dyDescent="0.25">
      <c r="A9" s="2"/>
      <c r="B9" s="2"/>
      <c r="C9" s="2"/>
      <c r="D9" s="2"/>
      <c r="E9" s="2"/>
      <c r="F9" s="2"/>
      <c r="G9" s="2"/>
    </row>
    <row r="10" spans="1:7" ht="15" customHeight="1" x14ac:dyDescent="0.25">
      <c r="A10" s="2"/>
      <c r="B10" s="2"/>
      <c r="C10" s="2"/>
      <c r="D10" s="2"/>
      <c r="E10" s="2"/>
      <c r="F10" s="2"/>
      <c r="G10" s="2"/>
    </row>
    <row r="11" spans="1:7" ht="15" customHeight="1" x14ac:dyDescent="0.25">
      <c r="A11" s="2"/>
      <c r="B11" s="2"/>
      <c r="C11" s="2"/>
      <c r="D11" s="2"/>
      <c r="E11" s="2"/>
      <c r="F11" s="2"/>
      <c r="G11" s="2"/>
    </row>
    <row r="12" spans="1:7" ht="15" customHeight="1" x14ac:dyDescent="0.25">
      <c r="A12" s="2"/>
      <c r="B12" s="2"/>
      <c r="C12" s="2"/>
      <c r="D12" s="2"/>
      <c r="E12" s="2"/>
      <c r="F12" s="2"/>
      <c r="G12" s="2"/>
    </row>
    <row r="13" spans="1:7" ht="15" customHeight="1" x14ac:dyDescent="0.25">
      <c r="A13" s="2"/>
      <c r="B13" s="2"/>
      <c r="C13" s="2"/>
      <c r="D13" s="2"/>
      <c r="E13" s="2"/>
      <c r="F13" s="2"/>
      <c r="G13" s="2"/>
    </row>
    <row r="14" spans="1:7" ht="15" customHeight="1" x14ac:dyDescent="0.25">
      <c r="A14" s="2"/>
      <c r="B14" s="2"/>
      <c r="C14" s="2"/>
      <c r="D14" s="2"/>
      <c r="E14" s="2"/>
      <c r="F14" s="2"/>
      <c r="G14" s="2"/>
    </row>
    <row r="15" spans="1:7" ht="15" customHeight="1" x14ac:dyDescent="0.25">
      <c r="A15" s="2"/>
      <c r="B15" s="2"/>
      <c r="C15" s="2"/>
      <c r="D15" s="2"/>
      <c r="E15" s="2"/>
      <c r="F15" s="2"/>
      <c r="G15" s="2"/>
    </row>
    <row r="16" spans="1:7" ht="15" customHeight="1" x14ac:dyDescent="0.25">
      <c r="A16" s="2"/>
      <c r="B16" s="2"/>
      <c r="C16" s="2"/>
      <c r="D16" s="2"/>
      <c r="E16" s="2"/>
      <c r="F16" s="2"/>
      <c r="G16" s="2"/>
    </row>
    <row r="17" spans="1:7" ht="15" customHeight="1" x14ac:dyDescent="0.25">
      <c r="A17" s="2"/>
      <c r="B17" s="2"/>
      <c r="C17" s="2"/>
      <c r="D17" s="2"/>
      <c r="E17" s="2"/>
      <c r="F17" s="2"/>
      <c r="G17" s="2"/>
    </row>
    <row r="18" spans="1:7" ht="15" customHeight="1" x14ac:dyDescent="0.25">
      <c r="A18" s="2"/>
      <c r="B18" s="2"/>
      <c r="C18" s="2"/>
      <c r="D18" s="2"/>
      <c r="E18" s="2"/>
      <c r="F18" s="2"/>
      <c r="G18" s="2"/>
    </row>
    <row r="19" spans="1:7" ht="15" customHeight="1" x14ac:dyDescent="0.25">
      <c r="A19" s="2"/>
      <c r="B19" s="2"/>
      <c r="C19" s="2"/>
      <c r="D19" s="2"/>
      <c r="E19" s="2"/>
      <c r="F19" s="2"/>
      <c r="G19" s="2"/>
    </row>
    <row r="20" spans="1:7" ht="15" customHeight="1" x14ac:dyDescent="0.25">
      <c r="A20" s="2"/>
      <c r="B20" s="2"/>
      <c r="C20" s="2"/>
      <c r="D20" s="2"/>
      <c r="E20" s="2"/>
      <c r="F20" s="2"/>
      <c r="G20" s="2"/>
    </row>
    <row r="21" spans="1:7" ht="15" customHeight="1" x14ac:dyDescent="0.25">
      <c r="A21" s="2"/>
      <c r="B21" s="2"/>
      <c r="C21" s="2"/>
      <c r="D21" s="2"/>
      <c r="E21" s="2"/>
      <c r="F21" s="2"/>
      <c r="G21" s="2"/>
    </row>
    <row r="22" spans="1:7" ht="15" customHeight="1" x14ac:dyDescent="0.25">
      <c r="A22" s="2"/>
      <c r="B22" s="2"/>
      <c r="C22" s="2"/>
      <c r="D22" s="2"/>
      <c r="E22" s="2"/>
      <c r="F22" s="2"/>
      <c r="G22" s="2"/>
    </row>
    <row r="23" spans="1:7" ht="15" customHeight="1" x14ac:dyDescent="0.25">
      <c r="A23" s="2"/>
      <c r="B23" s="2"/>
      <c r="C23" s="2"/>
      <c r="D23" s="2"/>
      <c r="E23" s="2"/>
      <c r="F23" s="2"/>
      <c r="G23" s="2"/>
    </row>
    <row r="24" spans="1:7" ht="15" customHeight="1" x14ac:dyDescent="0.25">
      <c r="A24" s="2"/>
      <c r="B24" s="2"/>
      <c r="C24" s="2"/>
      <c r="D24" s="2"/>
      <c r="E24" s="2"/>
      <c r="F24" s="2"/>
      <c r="G24" s="2"/>
    </row>
    <row r="25" spans="1:7" ht="15" customHeight="1" x14ac:dyDescent="0.25">
      <c r="A25" s="2"/>
      <c r="B25" s="2"/>
      <c r="C25" s="2"/>
      <c r="D25" s="2"/>
      <c r="E25" s="2"/>
      <c r="F25" s="2"/>
      <c r="G25" s="2"/>
    </row>
    <row r="26" spans="1:7" ht="15" customHeight="1" x14ac:dyDescent="0.25">
      <c r="A26" s="2"/>
      <c r="B26" s="2"/>
      <c r="C26" s="2"/>
      <c r="D26" s="2"/>
      <c r="E26" s="2"/>
      <c r="F26" s="2"/>
      <c r="G26" s="2"/>
    </row>
    <row r="27" spans="1:7" ht="15" customHeight="1" x14ac:dyDescent="0.25">
      <c r="A27" s="2"/>
      <c r="B27" s="2"/>
      <c r="C27" s="2"/>
      <c r="D27" s="2"/>
      <c r="E27" s="2"/>
      <c r="F27" s="2"/>
      <c r="G27" s="2"/>
    </row>
    <row r="28" spans="1:7" ht="15" customHeight="1" x14ac:dyDescent="0.25">
      <c r="A28" s="2"/>
      <c r="B28" s="2"/>
      <c r="C28" s="2"/>
      <c r="D28" s="2"/>
      <c r="E28" s="2"/>
      <c r="F28" s="2"/>
      <c r="G28" s="2"/>
    </row>
    <row r="29" spans="1:7" ht="15" customHeight="1" x14ac:dyDescent="0.25">
      <c r="A29" s="2"/>
      <c r="B29" s="2"/>
      <c r="C29" s="2"/>
      <c r="D29" s="2"/>
      <c r="E29" s="2"/>
      <c r="F29" s="2"/>
      <c r="G29" s="2"/>
    </row>
    <row r="30" spans="1:7" ht="15" customHeight="1" x14ac:dyDescent="0.25">
      <c r="A30" s="2"/>
      <c r="B30" s="2"/>
      <c r="C30" s="2"/>
      <c r="D30" s="2"/>
      <c r="E30" s="2"/>
      <c r="F30" s="2"/>
      <c r="G30" s="2"/>
    </row>
    <row r="31" spans="1:7" ht="15" customHeight="1" x14ac:dyDescent="0.25">
      <c r="A31" s="2"/>
      <c r="B31" s="2"/>
      <c r="C31" s="2"/>
      <c r="D31" s="2"/>
      <c r="E31" s="2"/>
      <c r="F31" s="2"/>
      <c r="G31" s="2"/>
    </row>
    <row r="32" spans="1:7" ht="15" customHeight="1" x14ac:dyDescent="0.25">
      <c r="A32" s="2"/>
      <c r="B32" s="2"/>
      <c r="C32" s="2"/>
      <c r="D32" s="2"/>
      <c r="E32" s="2"/>
      <c r="F32" s="2"/>
      <c r="G32" s="2"/>
    </row>
    <row r="33" spans="1:7" ht="15" customHeight="1" x14ac:dyDescent="0.25">
      <c r="A33" s="2"/>
      <c r="B33" s="2"/>
      <c r="C33" s="2"/>
      <c r="D33" s="2"/>
      <c r="E33" s="2"/>
      <c r="F33" s="2"/>
      <c r="G33" s="2"/>
    </row>
    <row r="34" spans="1:7" ht="15" customHeight="1" x14ac:dyDescent="0.25">
      <c r="A34" s="2"/>
      <c r="B34" s="2"/>
      <c r="C34" s="2"/>
      <c r="D34" s="2"/>
      <c r="E34" s="2"/>
      <c r="F34" s="2"/>
      <c r="G34" s="2"/>
    </row>
    <row r="35" spans="1:7" ht="15" customHeight="1" x14ac:dyDescent="0.25">
      <c r="A35" s="2"/>
      <c r="B35" s="2"/>
      <c r="C35" s="2"/>
      <c r="D35" s="2"/>
      <c r="E35" s="2"/>
      <c r="F35" s="2"/>
      <c r="G35" s="2"/>
    </row>
    <row r="36" spans="1:7" ht="15" customHeight="1" x14ac:dyDescent="0.25">
      <c r="A36" s="2"/>
      <c r="B36" s="2"/>
      <c r="C36" s="2"/>
      <c r="D36" s="2"/>
      <c r="E36" s="2"/>
      <c r="F36" s="2"/>
      <c r="G36" s="2"/>
    </row>
    <row r="37" spans="1:7" ht="15" customHeight="1" x14ac:dyDescent="0.25">
      <c r="A37" s="2"/>
      <c r="B37" s="2"/>
      <c r="C37" s="2"/>
      <c r="D37" s="2"/>
      <c r="E37" s="2"/>
      <c r="F37" s="2"/>
      <c r="G37" s="2"/>
    </row>
    <row r="38" spans="1:7" ht="15" customHeight="1" x14ac:dyDescent="0.25">
      <c r="A38" s="2"/>
      <c r="B38" s="2"/>
      <c r="C38" s="2"/>
      <c r="D38" s="2"/>
      <c r="E38" s="2"/>
      <c r="F38" s="2"/>
      <c r="G38" s="2"/>
    </row>
    <row r="39" spans="1:7" ht="15" customHeight="1" x14ac:dyDescent="0.25">
      <c r="A39" s="2"/>
      <c r="B39" s="2"/>
      <c r="C39" s="2"/>
      <c r="D39" s="2"/>
      <c r="E39" s="2"/>
      <c r="F39" s="2"/>
      <c r="G39" s="2"/>
    </row>
    <row r="40" spans="1:7" ht="15" customHeight="1" x14ac:dyDescent="0.25">
      <c r="A40" s="2"/>
      <c r="B40" s="2"/>
      <c r="C40" s="2"/>
      <c r="D40" s="2"/>
      <c r="E40" s="2"/>
      <c r="F40" s="2"/>
      <c r="G40" s="2"/>
    </row>
    <row r="41" spans="1:7" ht="15" customHeight="1" x14ac:dyDescent="0.25">
      <c r="A41" s="2"/>
      <c r="B41" s="2"/>
      <c r="C41" s="2"/>
      <c r="D41" s="2"/>
      <c r="E41" s="2"/>
      <c r="F41" s="2"/>
      <c r="G41" s="2"/>
    </row>
    <row r="42" spans="1:7" ht="15" customHeight="1" x14ac:dyDescent="0.25">
      <c r="A42" s="2"/>
      <c r="B42" s="2"/>
      <c r="C42" s="2"/>
      <c r="D42" s="2"/>
      <c r="E42" s="2"/>
      <c r="F42" s="2"/>
      <c r="G42" s="2"/>
    </row>
    <row r="43" spans="1:7" ht="15" customHeight="1" x14ac:dyDescent="0.25">
      <c r="A43" s="2"/>
      <c r="B43" s="2"/>
      <c r="C43" s="2"/>
      <c r="D43" s="2"/>
      <c r="E43" s="2"/>
      <c r="F43" s="2"/>
      <c r="G43" s="2"/>
    </row>
    <row r="44" spans="1:7" ht="15" customHeight="1" x14ac:dyDescent="0.25">
      <c r="A44" s="2"/>
      <c r="B44" s="2"/>
      <c r="C44" s="2"/>
      <c r="D44" s="2"/>
      <c r="E44" s="2"/>
      <c r="F44" s="2"/>
      <c r="G44" s="2"/>
    </row>
    <row r="45" spans="1:7" ht="15" customHeight="1" x14ac:dyDescent="0.25">
      <c r="A45" s="2"/>
      <c r="B45" s="2"/>
      <c r="C45" s="2"/>
      <c r="D45" s="2"/>
      <c r="E45" s="2"/>
      <c r="F45" s="2"/>
      <c r="G45" s="2"/>
    </row>
    <row r="46" spans="1:7" ht="15" customHeight="1" x14ac:dyDescent="0.25">
      <c r="A46" s="2"/>
      <c r="B46" s="2"/>
      <c r="C46" s="2"/>
      <c r="D46" s="2"/>
      <c r="E46" s="2"/>
      <c r="F46" s="2"/>
      <c r="G46" s="2"/>
    </row>
    <row r="47" spans="1:7" ht="15" customHeight="1" x14ac:dyDescent="0.25">
      <c r="A47" s="2"/>
      <c r="B47" s="2"/>
      <c r="C47" s="2"/>
      <c r="D47" s="2"/>
      <c r="E47" s="2"/>
      <c r="F47" s="2"/>
      <c r="G47" s="2"/>
    </row>
    <row r="48" spans="1:7" ht="15" customHeight="1" x14ac:dyDescent="0.25">
      <c r="A48" s="2"/>
      <c r="B48" s="2"/>
      <c r="C48" s="2"/>
      <c r="D48" s="2"/>
      <c r="E48" s="2"/>
      <c r="F48" s="2"/>
      <c r="G48" s="2"/>
    </row>
    <row r="49" spans="1:7" ht="15" customHeight="1" x14ac:dyDescent="0.25">
      <c r="A49" s="2"/>
      <c r="B49" s="2"/>
      <c r="C49" s="2"/>
      <c r="D49" s="2"/>
      <c r="E49" s="2"/>
      <c r="F49" s="2"/>
      <c r="G49" s="2"/>
    </row>
    <row r="50" spans="1:7" ht="15" customHeight="1" x14ac:dyDescent="0.25">
      <c r="A50" s="2"/>
      <c r="B50" s="2"/>
      <c r="C50" s="2"/>
      <c r="D50" s="2"/>
      <c r="E50" s="2"/>
      <c r="F50" s="2"/>
      <c r="G50" s="2"/>
    </row>
    <row r="51" spans="1:7" ht="15" customHeight="1" x14ac:dyDescent="0.25">
      <c r="A51" s="2"/>
      <c r="B51" s="2"/>
      <c r="C51" s="2"/>
      <c r="D51" s="2"/>
      <c r="E51" s="2"/>
      <c r="F51" s="2"/>
      <c r="G51" s="2"/>
    </row>
    <row r="52" spans="1:7" ht="15" customHeight="1" x14ac:dyDescent="0.25">
      <c r="A52" s="2"/>
      <c r="B52" s="2"/>
      <c r="C52" s="2"/>
      <c r="D52" s="2"/>
      <c r="E52" s="2"/>
      <c r="F52" s="2"/>
      <c r="G52" s="2"/>
    </row>
    <row r="53" spans="1:7" ht="15" customHeight="1" x14ac:dyDescent="0.25">
      <c r="A53" s="2"/>
      <c r="B53" s="2"/>
      <c r="C53" s="2"/>
      <c r="D53" s="2"/>
      <c r="E53" s="2"/>
      <c r="F53" s="2"/>
      <c r="G53" s="2"/>
    </row>
    <row r="54" spans="1:7" ht="15" customHeight="1" x14ac:dyDescent="0.25">
      <c r="A54" s="2"/>
      <c r="B54" s="2"/>
      <c r="C54" s="2"/>
      <c r="D54" s="2"/>
      <c r="E54" s="2"/>
      <c r="F54" s="2"/>
      <c r="G54" s="2"/>
    </row>
    <row r="55" spans="1:7" ht="15" customHeight="1" x14ac:dyDescent="0.25">
      <c r="A55" s="2"/>
      <c r="B55" s="2"/>
      <c r="C55" s="2"/>
      <c r="D55" s="2"/>
      <c r="E55" s="2"/>
      <c r="F55" s="2"/>
      <c r="G55" s="2"/>
    </row>
    <row r="56" spans="1:7" ht="15" customHeight="1" x14ac:dyDescent="0.25">
      <c r="A56" s="2"/>
      <c r="B56" s="2"/>
      <c r="C56" s="2"/>
      <c r="D56" s="2"/>
      <c r="E56" s="2"/>
      <c r="F56" s="2"/>
      <c r="G56" s="2"/>
    </row>
    <row r="57" spans="1:7" ht="15" customHeight="1" x14ac:dyDescent="0.25">
      <c r="A57" s="2"/>
      <c r="B57" s="2"/>
      <c r="C57" s="2"/>
      <c r="D57" s="2"/>
      <c r="E57" s="2"/>
      <c r="F57" s="2"/>
      <c r="G57" s="2"/>
    </row>
    <row r="58" spans="1:7" ht="15" customHeight="1" x14ac:dyDescent="0.25">
      <c r="A58" s="2"/>
      <c r="B58" s="2"/>
      <c r="C58" s="2"/>
      <c r="D58" s="2"/>
      <c r="E58" s="2"/>
      <c r="F58" s="2"/>
      <c r="G58" s="2"/>
    </row>
    <row r="59" spans="1:7" ht="15" customHeight="1" x14ac:dyDescent="0.25">
      <c r="A59" s="2"/>
      <c r="B59" s="2"/>
      <c r="C59" s="2"/>
      <c r="D59" s="2"/>
      <c r="E59" s="2"/>
      <c r="F59" s="2"/>
      <c r="G59" s="2"/>
    </row>
    <row r="60" spans="1:7" ht="15" customHeight="1" x14ac:dyDescent="0.25">
      <c r="A60" s="2"/>
      <c r="B60" s="2"/>
      <c r="C60" s="2"/>
      <c r="D60" s="2"/>
      <c r="E60" s="2"/>
      <c r="F60" s="2"/>
      <c r="G60" s="2"/>
    </row>
    <row r="61" spans="1:7" ht="15" customHeight="1" x14ac:dyDescent="0.25">
      <c r="A61" s="2"/>
      <c r="B61" s="2"/>
      <c r="C61" s="2"/>
      <c r="D61" s="2"/>
      <c r="E61" s="2"/>
      <c r="F61" s="2"/>
      <c r="G61" s="2"/>
    </row>
    <row r="62" spans="1:7" ht="15" customHeight="1" x14ac:dyDescent="0.25">
      <c r="A62" s="2"/>
      <c r="B62" s="2"/>
      <c r="C62" s="2"/>
      <c r="D62" s="2"/>
      <c r="E62" s="2"/>
      <c r="F62" s="2"/>
      <c r="G62" s="2"/>
    </row>
    <row r="63" spans="1:7" ht="15" customHeight="1" x14ac:dyDescent="0.25">
      <c r="A63" s="2"/>
      <c r="B63" s="2"/>
      <c r="C63" s="2"/>
      <c r="D63" s="2"/>
      <c r="E63" s="2"/>
      <c r="F63" s="2"/>
      <c r="G63" s="2"/>
    </row>
    <row r="64" spans="1:7" ht="15" customHeight="1" x14ac:dyDescent="0.25">
      <c r="A64" s="2"/>
      <c r="B64" s="2"/>
      <c r="C64" s="2"/>
      <c r="D64" s="2"/>
      <c r="E64" s="2"/>
      <c r="F64" s="2"/>
      <c r="G64" s="2"/>
    </row>
    <row r="65" spans="1:7" ht="15" customHeight="1" x14ac:dyDescent="0.25">
      <c r="A65" s="2"/>
      <c r="B65" s="2"/>
      <c r="C65" s="2"/>
      <c r="D65" s="2"/>
      <c r="E65" s="2"/>
      <c r="F65" s="2"/>
      <c r="G65" s="2"/>
    </row>
    <row r="66" spans="1:7" ht="15" customHeight="1" x14ac:dyDescent="0.25">
      <c r="A66" s="2"/>
      <c r="B66" s="2"/>
      <c r="C66" s="2"/>
      <c r="D66" s="2"/>
      <c r="E66" s="2"/>
      <c r="F66" s="2"/>
      <c r="G66" s="2"/>
    </row>
    <row r="67" spans="1:7" ht="15" customHeight="1" x14ac:dyDescent="0.25">
      <c r="A67" s="2"/>
      <c r="B67" s="2"/>
      <c r="C67" s="2"/>
      <c r="D67" s="2"/>
      <c r="E67" s="2"/>
      <c r="F67" s="2"/>
      <c r="G67" s="2"/>
    </row>
    <row r="68" spans="1:7" ht="15" customHeight="1" x14ac:dyDescent="0.25">
      <c r="A68" s="2"/>
      <c r="B68" s="2"/>
      <c r="C68" s="2"/>
      <c r="D68" s="2"/>
      <c r="E68" s="2"/>
      <c r="F68" s="2"/>
      <c r="G68" s="2"/>
    </row>
    <row r="69" spans="1:7" ht="15" customHeight="1" x14ac:dyDescent="0.25">
      <c r="A69" s="2"/>
      <c r="B69" s="2"/>
      <c r="C69" s="2"/>
      <c r="D69" s="2"/>
      <c r="E69" s="2"/>
      <c r="F69" s="2"/>
      <c r="G69" s="2"/>
    </row>
    <row r="70" spans="1:7" ht="15" customHeight="1" x14ac:dyDescent="0.25">
      <c r="A70" s="2"/>
      <c r="B70" s="2"/>
      <c r="C70" s="2"/>
      <c r="D70" s="2"/>
      <c r="E70" s="2"/>
      <c r="F70" s="2"/>
      <c r="G70" s="2"/>
    </row>
    <row r="71" spans="1:7" ht="15" customHeight="1" x14ac:dyDescent="0.25">
      <c r="A71" s="2"/>
      <c r="B71" s="2"/>
      <c r="C71" s="2"/>
      <c r="D71" s="2"/>
      <c r="E71" s="2"/>
      <c r="F71" s="2"/>
      <c r="G71" s="2"/>
    </row>
    <row r="72" spans="1:7" ht="15" customHeight="1" x14ac:dyDescent="0.25">
      <c r="A72" s="2"/>
      <c r="B72" s="2"/>
      <c r="C72" s="2"/>
      <c r="D72" s="2"/>
      <c r="E72" s="2"/>
      <c r="F72" s="2"/>
      <c r="G72" s="2"/>
    </row>
    <row r="73" spans="1:7" ht="15" customHeight="1" x14ac:dyDescent="0.25">
      <c r="A73" s="2"/>
      <c r="B73" s="2"/>
      <c r="C73" s="2"/>
      <c r="D73" s="2"/>
      <c r="E73" s="2"/>
      <c r="F73" s="2"/>
      <c r="G73" s="2"/>
    </row>
    <row r="74" spans="1:7" ht="15" customHeight="1" x14ac:dyDescent="0.25">
      <c r="A74" s="2"/>
      <c r="B74" s="2"/>
      <c r="C74" s="2"/>
      <c r="D74" s="2"/>
      <c r="E74" s="2"/>
      <c r="F74" s="2"/>
      <c r="G74" s="2"/>
    </row>
    <row r="75" spans="1:7" ht="15" customHeight="1" x14ac:dyDescent="0.25">
      <c r="A75" s="2"/>
      <c r="B75" s="2"/>
      <c r="C75" s="2"/>
      <c r="D75" s="2"/>
      <c r="E75" s="2"/>
      <c r="F75" s="2"/>
      <c r="G75" s="2"/>
    </row>
    <row r="76" spans="1:7" ht="15" customHeight="1" x14ac:dyDescent="0.25">
      <c r="A76" s="2"/>
      <c r="B76" s="2"/>
      <c r="C76" s="2"/>
      <c r="D76" s="2"/>
      <c r="E76" s="2"/>
      <c r="F76" s="2"/>
      <c r="G76" s="2"/>
    </row>
    <row r="77" spans="1:7" ht="15" customHeight="1" x14ac:dyDescent="0.25">
      <c r="A77" s="2"/>
      <c r="B77" s="2"/>
      <c r="C77" s="2"/>
      <c r="D77" s="2"/>
      <c r="E77" s="2"/>
      <c r="F77" s="2"/>
      <c r="G77" s="2"/>
    </row>
    <row r="78" spans="1:7" ht="15" customHeight="1" x14ac:dyDescent="0.25">
      <c r="A78" s="2"/>
      <c r="B78" s="2"/>
      <c r="C78" s="2"/>
      <c r="D78" s="2"/>
      <c r="E78" s="2"/>
      <c r="F78" s="2"/>
      <c r="G78" s="2"/>
    </row>
    <row r="79" spans="1:7" ht="15" customHeight="1" x14ac:dyDescent="0.25">
      <c r="A79" s="2"/>
      <c r="B79" s="2"/>
      <c r="C79" s="2"/>
      <c r="D79" s="2"/>
      <c r="E79" s="2"/>
      <c r="F79" s="2"/>
      <c r="G79" s="2"/>
    </row>
    <row r="80" spans="1:7" ht="15" customHeight="1" x14ac:dyDescent="0.25">
      <c r="A80" s="2"/>
      <c r="B80" s="2"/>
      <c r="C80" s="2"/>
      <c r="D80" s="2"/>
      <c r="E80" s="2"/>
      <c r="F80" s="2"/>
      <c r="G80" s="2"/>
    </row>
  </sheetData>
  <conditionalFormatting sqref="D2:D4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0"/>
  <sheetViews>
    <sheetView workbookViewId="0"/>
  </sheetViews>
  <sheetFormatPr defaultRowHeight="15" x14ac:dyDescent="0.25"/>
  <cols>
    <col min="1" max="1" width="34" customWidth="1"/>
    <col min="2" max="2" width="90" customWidth="1"/>
    <col min="3" max="7" width="20" customWidth="1"/>
  </cols>
  <sheetData>
    <row r="1" spans="1:7" ht="15" customHeight="1" x14ac:dyDescent="0.25">
      <c r="A1" s="1" t="s">
        <v>149</v>
      </c>
      <c r="B1" s="1" t="s">
        <v>150</v>
      </c>
      <c r="C1" s="1"/>
      <c r="D1" s="1"/>
      <c r="E1" s="1"/>
      <c r="F1" s="1"/>
      <c r="G1" s="1"/>
    </row>
    <row r="2" spans="1:7" ht="26.45" customHeight="1" x14ac:dyDescent="0.25">
      <c r="A2" s="2" t="s">
        <v>151</v>
      </c>
      <c r="B2" s="2" t="s">
        <v>152</v>
      </c>
      <c r="C2" s="2"/>
      <c r="D2" s="2"/>
      <c r="E2" s="2"/>
      <c r="F2" s="2"/>
      <c r="G2" s="2"/>
    </row>
    <row r="3" spans="1:7" ht="26.45" customHeight="1" x14ac:dyDescent="0.25">
      <c r="A3" s="2" t="s">
        <v>153</v>
      </c>
      <c r="B3" s="2" t="s">
        <v>154</v>
      </c>
      <c r="C3" s="2"/>
      <c r="D3" s="2"/>
      <c r="E3" s="2"/>
      <c r="F3" s="2"/>
      <c r="G3" s="2"/>
    </row>
    <row r="4" spans="1:7" ht="26.45" customHeight="1" x14ac:dyDescent="0.25">
      <c r="A4" s="2" t="s">
        <v>155</v>
      </c>
      <c r="B4" s="2" t="s">
        <v>156</v>
      </c>
      <c r="C4" s="2"/>
      <c r="D4" s="2"/>
      <c r="E4" s="2"/>
      <c r="F4" s="2"/>
      <c r="G4" s="2"/>
    </row>
    <row r="5" spans="1:7" ht="26.45" customHeight="1" x14ac:dyDescent="0.25">
      <c r="A5" s="2" t="s">
        <v>157</v>
      </c>
      <c r="B5" s="2" t="s">
        <v>158</v>
      </c>
      <c r="C5" s="2"/>
      <c r="D5" s="2"/>
      <c r="E5" s="2"/>
      <c r="F5" s="2"/>
      <c r="G5" s="2"/>
    </row>
    <row r="6" spans="1:7" ht="26.45" customHeight="1" x14ac:dyDescent="0.25">
      <c r="A6" s="2" t="s">
        <v>159</v>
      </c>
      <c r="B6" s="2" t="s">
        <v>160</v>
      </c>
      <c r="C6" s="2"/>
      <c r="D6" s="2"/>
      <c r="E6" s="2"/>
      <c r="F6" s="2"/>
      <c r="G6" s="2"/>
    </row>
    <row r="7" spans="1:7" ht="26.45" customHeight="1" x14ac:dyDescent="0.25">
      <c r="A7" s="2" t="s">
        <v>161</v>
      </c>
      <c r="B7" s="2" t="s">
        <v>162</v>
      </c>
      <c r="C7" s="2"/>
      <c r="D7" s="2"/>
      <c r="E7" s="2"/>
      <c r="F7" s="2"/>
      <c r="G7" s="2"/>
    </row>
    <row r="8" spans="1:7" ht="15" customHeight="1" x14ac:dyDescent="0.25">
      <c r="A8" s="2"/>
      <c r="B8" s="2"/>
      <c r="C8" s="2"/>
      <c r="D8" s="2"/>
      <c r="E8" s="2"/>
      <c r="F8" s="2"/>
      <c r="G8" s="2"/>
    </row>
    <row r="9" spans="1:7" ht="15" customHeight="1" x14ac:dyDescent="0.25">
      <c r="A9" s="2" t="s">
        <v>163</v>
      </c>
      <c r="B9" s="2" t="s">
        <v>164</v>
      </c>
      <c r="C9" s="2"/>
      <c r="D9" s="2"/>
      <c r="E9" s="2"/>
      <c r="F9" s="2"/>
      <c r="G9" s="2"/>
    </row>
    <row r="10" spans="1:7" ht="15" customHeight="1" x14ac:dyDescent="0.25">
      <c r="A10" s="2" t="s">
        <v>165</v>
      </c>
      <c r="B10" s="2" t="s">
        <v>166</v>
      </c>
      <c r="C10" s="2"/>
      <c r="D10" s="2"/>
      <c r="E10" s="2"/>
      <c r="F10" s="2"/>
      <c r="G10" s="2"/>
    </row>
    <row r="11" spans="1:7" ht="26.45" customHeight="1" x14ac:dyDescent="0.25">
      <c r="A11" s="2" t="s">
        <v>167</v>
      </c>
      <c r="B11" s="2" t="s">
        <v>168</v>
      </c>
      <c r="C11" s="2"/>
      <c r="D11" s="2"/>
      <c r="E11" s="2"/>
      <c r="F11" s="2"/>
      <c r="G11" s="2"/>
    </row>
    <row r="12" spans="1:7" ht="15" customHeight="1" x14ac:dyDescent="0.25">
      <c r="A12" s="2" t="s">
        <v>169</v>
      </c>
      <c r="B12" s="2" t="s">
        <v>170</v>
      </c>
      <c r="C12" s="2"/>
      <c r="D12" s="2"/>
      <c r="E12" s="2"/>
      <c r="F12" s="2"/>
      <c r="G12" s="2"/>
    </row>
    <row r="13" spans="1:7" ht="15" customHeight="1" x14ac:dyDescent="0.25">
      <c r="A13" s="2" t="s">
        <v>171</v>
      </c>
      <c r="B13" s="2" t="s">
        <v>172</v>
      </c>
      <c r="C13" s="2"/>
      <c r="D13" s="2"/>
      <c r="E13" s="2"/>
      <c r="F13" s="2"/>
      <c r="G13" s="2"/>
    </row>
    <row r="14" spans="1:7" ht="26.45" customHeight="1" x14ac:dyDescent="0.25">
      <c r="A14" s="2" t="s">
        <v>173</v>
      </c>
      <c r="B14" s="2" t="s">
        <v>174</v>
      </c>
      <c r="C14" s="2"/>
      <c r="D14" s="2"/>
      <c r="E14" s="2"/>
      <c r="F14" s="2"/>
      <c r="G14" s="2"/>
    </row>
    <row r="15" spans="1:7" ht="15" customHeight="1" x14ac:dyDescent="0.25">
      <c r="A15" s="2"/>
      <c r="B15" s="2"/>
      <c r="C15" s="2"/>
      <c r="D15" s="2"/>
      <c r="E15" s="2"/>
      <c r="F15" s="2"/>
      <c r="G15" s="2"/>
    </row>
    <row r="16" spans="1:7" ht="15" customHeight="1" x14ac:dyDescent="0.25">
      <c r="A16" s="2"/>
      <c r="B16" s="2"/>
      <c r="C16" s="2"/>
      <c r="D16" s="2"/>
      <c r="E16" s="2"/>
      <c r="F16" s="2"/>
      <c r="G16" s="2"/>
    </row>
    <row r="17" spans="1:7" ht="15" customHeight="1" x14ac:dyDescent="0.25">
      <c r="A17" s="2"/>
      <c r="B17" s="2"/>
      <c r="C17" s="2"/>
      <c r="D17" s="2"/>
      <c r="E17" s="2"/>
      <c r="F17" s="2"/>
      <c r="G17" s="2"/>
    </row>
    <row r="18" spans="1:7" ht="15" customHeight="1" x14ac:dyDescent="0.25">
      <c r="A18" s="2"/>
      <c r="B18" s="2"/>
      <c r="C18" s="2"/>
      <c r="D18" s="2"/>
      <c r="E18" s="2"/>
      <c r="F18" s="2"/>
      <c r="G18" s="2"/>
    </row>
    <row r="19" spans="1:7" ht="15" customHeight="1" x14ac:dyDescent="0.25">
      <c r="A19" s="2"/>
      <c r="B19" s="2"/>
      <c r="C19" s="2"/>
      <c r="D19" s="2"/>
      <c r="E19" s="2"/>
      <c r="F19" s="2"/>
      <c r="G19" s="2"/>
    </row>
    <row r="20" spans="1:7" ht="15" customHeight="1" x14ac:dyDescent="0.25">
      <c r="A20" s="2"/>
      <c r="B20" s="2"/>
      <c r="C20" s="2"/>
      <c r="D20" s="2"/>
      <c r="E20" s="2"/>
      <c r="F20" s="2"/>
      <c r="G20" s="2"/>
    </row>
    <row r="21" spans="1:7" ht="15" customHeight="1" x14ac:dyDescent="0.25">
      <c r="A21" s="2"/>
      <c r="B21" s="2"/>
      <c r="C21" s="2"/>
      <c r="D21" s="2"/>
      <c r="E21" s="2"/>
      <c r="F21" s="2"/>
      <c r="G21" s="2"/>
    </row>
    <row r="22" spans="1:7" ht="15" customHeight="1" x14ac:dyDescent="0.25">
      <c r="A22" s="2"/>
      <c r="B22" s="2"/>
      <c r="C22" s="2"/>
      <c r="D22" s="2"/>
      <c r="E22" s="2"/>
      <c r="F22" s="2"/>
      <c r="G22" s="2"/>
    </row>
    <row r="23" spans="1:7" ht="15" customHeight="1" x14ac:dyDescent="0.25">
      <c r="A23" s="2"/>
      <c r="B23" s="2"/>
      <c r="C23" s="2"/>
      <c r="D23" s="2"/>
      <c r="E23" s="2"/>
      <c r="F23" s="2"/>
      <c r="G23" s="2"/>
    </row>
    <row r="24" spans="1:7" ht="15" customHeight="1" x14ac:dyDescent="0.25">
      <c r="A24" s="2"/>
      <c r="B24" s="2"/>
      <c r="C24" s="2"/>
      <c r="D24" s="2"/>
      <c r="E24" s="2"/>
      <c r="F24" s="2"/>
      <c r="G24" s="2"/>
    </row>
    <row r="25" spans="1:7" ht="15" customHeight="1" x14ac:dyDescent="0.25">
      <c r="A25" s="2"/>
      <c r="B25" s="2"/>
      <c r="C25" s="2"/>
      <c r="D25" s="2"/>
      <c r="E25" s="2"/>
      <c r="F25" s="2"/>
      <c r="G25" s="2"/>
    </row>
    <row r="26" spans="1:7" ht="15" customHeight="1" x14ac:dyDescent="0.25">
      <c r="A26" s="2"/>
      <c r="B26" s="2"/>
      <c r="C26" s="2"/>
      <c r="D26" s="2"/>
      <c r="E26" s="2"/>
      <c r="F26" s="2"/>
      <c r="G26" s="2"/>
    </row>
    <row r="27" spans="1:7" ht="15" customHeight="1" x14ac:dyDescent="0.25">
      <c r="A27" s="2"/>
      <c r="B27" s="2"/>
      <c r="C27" s="2"/>
      <c r="D27" s="2"/>
      <c r="E27" s="2"/>
      <c r="F27" s="2"/>
      <c r="G27" s="2"/>
    </row>
    <row r="28" spans="1:7" ht="15" customHeight="1" x14ac:dyDescent="0.25">
      <c r="A28" s="2"/>
      <c r="B28" s="2"/>
      <c r="C28" s="2"/>
      <c r="D28" s="2"/>
      <c r="E28" s="2"/>
      <c r="F28" s="2"/>
      <c r="G28" s="2"/>
    </row>
    <row r="29" spans="1:7" ht="15" customHeight="1" x14ac:dyDescent="0.25">
      <c r="A29" s="2"/>
      <c r="B29" s="2"/>
      <c r="C29" s="2"/>
      <c r="D29" s="2"/>
      <c r="E29" s="2"/>
      <c r="F29" s="2"/>
      <c r="G29" s="2"/>
    </row>
    <row r="30" spans="1:7" ht="15" customHeight="1" x14ac:dyDescent="0.25">
      <c r="A30" s="2"/>
      <c r="B30" s="2"/>
      <c r="C30" s="2"/>
      <c r="D30" s="2"/>
      <c r="E30" s="2"/>
      <c r="F30" s="2"/>
      <c r="G30" s="2"/>
    </row>
    <row r="31" spans="1:7" ht="15" customHeight="1" x14ac:dyDescent="0.25">
      <c r="A31" s="2"/>
      <c r="B31" s="2"/>
      <c r="C31" s="2"/>
      <c r="D31" s="2"/>
      <c r="E31" s="2"/>
      <c r="F31" s="2"/>
      <c r="G31" s="2"/>
    </row>
    <row r="32" spans="1:7" ht="15" customHeight="1" x14ac:dyDescent="0.25">
      <c r="A32" s="2"/>
      <c r="B32" s="2"/>
      <c r="C32" s="2"/>
      <c r="D32" s="2"/>
      <c r="E32" s="2"/>
      <c r="F32" s="2"/>
      <c r="G32" s="2"/>
    </row>
    <row r="33" spans="1:7" ht="15" customHeight="1" x14ac:dyDescent="0.25">
      <c r="A33" s="2"/>
      <c r="B33" s="2"/>
      <c r="C33" s="2"/>
      <c r="D33" s="2"/>
      <c r="E33" s="2"/>
      <c r="F33" s="2"/>
      <c r="G33" s="2"/>
    </row>
    <row r="34" spans="1:7" ht="15" customHeight="1" x14ac:dyDescent="0.25">
      <c r="A34" s="2"/>
      <c r="B34" s="2"/>
      <c r="C34" s="2"/>
      <c r="D34" s="2"/>
      <c r="E34" s="2"/>
      <c r="F34" s="2"/>
      <c r="G34" s="2"/>
    </row>
    <row r="35" spans="1:7" ht="15" customHeight="1" x14ac:dyDescent="0.25">
      <c r="A35" s="2"/>
      <c r="B35" s="2"/>
      <c r="C35" s="2"/>
      <c r="D35" s="2"/>
      <c r="E35" s="2"/>
      <c r="F35" s="2"/>
      <c r="G35" s="2"/>
    </row>
    <row r="36" spans="1:7" ht="15" customHeight="1" x14ac:dyDescent="0.25">
      <c r="A36" s="2"/>
      <c r="B36" s="2"/>
      <c r="C36" s="2"/>
      <c r="D36" s="2"/>
      <c r="E36" s="2"/>
      <c r="F36" s="2"/>
      <c r="G36" s="2"/>
    </row>
    <row r="37" spans="1:7" ht="15" customHeight="1" x14ac:dyDescent="0.25">
      <c r="A37" s="2"/>
      <c r="B37" s="2"/>
      <c r="C37" s="2"/>
      <c r="D37" s="2"/>
      <c r="E37" s="2"/>
      <c r="F37" s="2"/>
      <c r="G37" s="2"/>
    </row>
    <row r="38" spans="1:7" ht="15" customHeight="1" x14ac:dyDescent="0.25">
      <c r="A38" s="2"/>
      <c r="B38" s="2"/>
      <c r="C38" s="2"/>
      <c r="D38" s="2"/>
      <c r="E38" s="2"/>
      <c r="F38" s="2"/>
      <c r="G38" s="2"/>
    </row>
    <row r="39" spans="1:7" ht="15" customHeight="1" x14ac:dyDescent="0.25">
      <c r="A39" s="2"/>
      <c r="B39" s="2"/>
      <c r="C39" s="2"/>
      <c r="D39" s="2"/>
      <c r="E39" s="2"/>
      <c r="F39" s="2"/>
      <c r="G39" s="2"/>
    </row>
    <row r="40" spans="1:7" ht="15" customHeight="1" x14ac:dyDescent="0.25">
      <c r="A40" s="2"/>
      <c r="B40" s="2"/>
      <c r="C40" s="2"/>
      <c r="D40" s="2"/>
      <c r="E40" s="2"/>
      <c r="F40" s="2"/>
      <c r="G40" s="2"/>
    </row>
    <row r="41" spans="1:7" ht="15" customHeight="1" x14ac:dyDescent="0.25">
      <c r="A41" s="2"/>
      <c r="B41" s="2"/>
      <c r="C41" s="2"/>
      <c r="D41" s="2"/>
      <c r="E41" s="2"/>
      <c r="F41" s="2"/>
      <c r="G41" s="2"/>
    </row>
    <row r="42" spans="1:7" ht="15" customHeight="1" x14ac:dyDescent="0.25">
      <c r="A42" s="2"/>
      <c r="B42" s="2"/>
      <c r="C42" s="2"/>
      <c r="D42" s="2"/>
      <c r="E42" s="2"/>
      <c r="F42" s="2"/>
      <c r="G42" s="2"/>
    </row>
    <row r="43" spans="1:7" ht="15" customHeight="1" x14ac:dyDescent="0.25">
      <c r="A43" s="2"/>
      <c r="B43" s="2"/>
      <c r="C43" s="2"/>
      <c r="D43" s="2"/>
      <c r="E43" s="2"/>
      <c r="F43" s="2"/>
      <c r="G43" s="2"/>
    </row>
    <row r="44" spans="1:7" ht="15" customHeight="1" x14ac:dyDescent="0.25">
      <c r="A44" s="2"/>
      <c r="B44" s="2"/>
      <c r="C44" s="2"/>
      <c r="D44" s="2"/>
      <c r="E44" s="2"/>
      <c r="F44" s="2"/>
      <c r="G44" s="2"/>
    </row>
    <row r="45" spans="1:7" ht="15" customHeight="1" x14ac:dyDescent="0.25">
      <c r="A45" s="2"/>
      <c r="B45" s="2"/>
      <c r="C45" s="2"/>
      <c r="D45" s="2"/>
      <c r="E45" s="2"/>
      <c r="F45" s="2"/>
      <c r="G45" s="2"/>
    </row>
    <row r="46" spans="1:7" ht="15" customHeight="1" x14ac:dyDescent="0.25">
      <c r="A46" s="2"/>
      <c r="B46" s="2"/>
      <c r="C46" s="2"/>
      <c r="D46" s="2"/>
      <c r="E46" s="2"/>
      <c r="F46" s="2"/>
      <c r="G46" s="2"/>
    </row>
    <row r="47" spans="1:7" ht="15" customHeight="1" x14ac:dyDescent="0.25">
      <c r="A47" s="2"/>
      <c r="B47" s="2"/>
      <c r="C47" s="2"/>
      <c r="D47" s="2"/>
      <c r="E47" s="2"/>
      <c r="F47" s="2"/>
      <c r="G47" s="2"/>
    </row>
    <row r="48" spans="1:7" ht="15" customHeight="1" x14ac:dyDescent="0.25">
      <c r="A48" s="2"/>
      <c r="B48" s="2"/>
      <c r="C48" s="2"/>
      <c r="D48" s="2"/>
      <c r="E48" s="2"/>
      <c r="F48" s="2"/>
      <c r="G48" s="2"/>
    </row>
    <row r="49" spans="1:7" ht="15" customHeight="1" x14ac:dyDescent="0.25">
      <c r="A49" s="2"/>
      <c r="B49" s="2"/>
      <c r="C49" s="2"/>
      <c r="D49" s="2"/>
      <c r="E49" s="2"/>
      <c r="F49" s="2"/>
      <c r="G49" s="2"/>
    </row>
    <row r="50" spans="1:7" ht="15" customHeight="1" x14ac:dyDescent="0.25">
      <c r="A50" s="2"/>
      <c r="B50" s="2"/>
      <c r="C50" s="2"/>
      <c r="D50" s="2"/>
      <c r="E50" s="2"/>
      <c r="F50" s="2"/>
      <c r="G50" s="2"/>
    </row>
    <row r="51" spans="1:7" ht="15" customHeight="1" x14ac:dyDescent="0.25">
      <c r="A51" s="2"/>
      <c r="B51" s="2"/>
      <c r="C51" s="2"/>
      <c r="D51" s="2"/>
      <c r="E51" s="2"/>
      <c r="F51" s="2"/>
      <c r="G51" s="2"/>
    </row>
    <row r="52" spans="1:7" ht="15" customHeight="1" x14ac:dyDescent="0.25">
      <c r="A52" s="2"/>
      <c r="B52" s="2"/>
      <c r="C52" s="2"/>
      <c r="D52" s="2"/>
      <c r="E52" s="2"/>
      <c r="F52" s="2"/>
      <c r="G52" s="2"/>
    </row>
    <row r="53" spans="1:7" ht="15" customHeight="1" x14ac:dyDescent="0.25">
      <c r="A53" s="2"/>
      <c r="B53" s="2"/>
      <c r="C53" s="2"/>
      <c r="D53" s="2"/>
      <c r="E53" s="2"/>
      <c r="F53" s="2"/>
      <c r="G53" s="2"/>
    </row>
    <row r="54" spans="1:7" ht="15" customHeight="1" x14ac:dyDescent="0.25">
      <c r="A54" s="2"/>
      <c r="B54" s="2"/>
      <c r="C54" s="2"/>
      <c r="D54" s="2"/>
      <c r="E54" s="2"/>
      <c r="F54" s="2"/>
      <c r="G54" s="2"/>
    </row>
    <row r="55" spans="1:7" ht="15" customHeight="1" x14ac:dyDescent="0.25">
      <c r="A55" s="2"/>
      <c r="B55" s="2"/>
      <c r="C55" s="2"/>
      <c r="D55" s="2"/>
      <c r="E55" s="2"/>
      <c r="F55" s="2"/>
      <c r="G55" s="2"/>
    </row>
    <row r="56" spans="1:7" ht="15" customHeight="1" x14ac:dyDescent="0.25">
      <c r="A56" s="2"/>
      <c r="B56" s="2"/>
      <c r="C56" s="2"/>
      <c r="D56" s="2"/>
      <c r="E56" s="2"/>
      <c r="F56" s="2"/>
      <c r="G56" s="2"/>
    </row>
    <row r="57" spans="1:7" ht="15" customHeight="1" x14ac:dyDescent="0.25">
      <c r="A57" s="2"/>
      <c r="B57" s="2"/>
      <c r="C57" s="2"/>
      <c r="D57" s="2"/>
      <c r="E57" s="2"/>
      <c r="F57" s="2"/>
      <c r="G57" s="2"/>
    </row>
    <row r="58" spans="1:7" ht="15" customHeight="1" x14ac:dyDescent="0.25">
      <c r="A58" s="2"/>
      <c r="B58" s="2"/>
      <c r="C58" s="2"/>
      <c r="D58" s="2"/>
      <c r="E58" s="2"/>
      <c r="F58" s="2"/>
      <c r="G58" s="2"/>
    </row>
    <row r="59" spans="1:7" ht="15" customHeight="1" x14ac:dyDescent="0.25">
      <c r="A59" s="2"/>
      <c r="B59" s="2"/>
      <c r="C59" s="2"/>
      <c r="D59" s="2"/>
      <c r="E59" s="2"/>
      <c r="F59" s="2"/>
      <c r="G59" s="2"/>
    </row>
    <row r="60" spans="1:7" ht="15" customHeight="1" x14ac:dyDescent="0.25">
      <c r="A60" s="2"/>
      <c r="B60" s="2"/>
      <c r="C60" s="2"/>
      <c r="D60" s="2"/>
      <c r="E60" s="2"/>
      <c r="F60" s="2"/>
      <c r="G60" s="2"/>
    </row>
    <row r="61" spans="1:7" ht="15" customHeight="1" x14ac:dyDescent="0.25">
      <c r="A61" s="2"/>
      <c r="B61" s="2"/>
      <c r="C61" s="2"/>
      <c r="D61" s="2"/>
      <c r="E61" s="2"/>
      <c r="F61" s="2"/>
      <c r="G61" s="2"/>
    </row>
    <row r="62" spans="1:7" ht="15" customHeight="1" x14ac:dyDescent="0.25">
      <c r="A62" s="2"/>
      <c r="B62" s="2"/>
      <c r="C62" s="2"/>
      <c r="D62" s="2"/>
      <c r="E62" s="2"/>
      <c r="F62" s="2"/>
      <c r="G62" s="2"/>
    </row>
    <row r="63" spans="1:7" ht="15" customHeight="1" x14ac:dyDescent="0.25">
      <c r="A63" s="2"/>
      <c r="B63" s="2"/>
      <c r="C63" s="2"/>
      <c r="D63" s="2"/>
      <c r="E63" s="2"/>
      <c r="F63" s="2"/>
      <c r="G63" s="2"/>
    </row>
    <row r="64" spans="1:7" ht="15" customHeight="1" x14ac:dyDescent="0.25">
      <c r="A64" s="2"/>
      <c r="B64" s="2"/>
      <c r="C64" s="2"/>
      <c r="D64" s="2"/>
      <c r="E64" s="2"/>
      <c r="F64" s="2"/>
      <c r="G64" s="2"/>
    </row>
    <row r="65" spans="1:7" ht="15" customHeight="1" x14ac:dyDescent="0.25">
      <c r="A65" s="2"/>
      <c r="B65" s="2"/>
      <c r="C65" s="2"/>
      <c r="D65" s="2"/>
      <c r="E65" s="2"/>
      <c r="F65" s="2"/>
      <c r="G65" s="2"/>
    </row>
    <row r="66" spans="1:7" ht="15" customHeight="1" x14ac:dyDescent="0.25">
      <c r="A66" s="2"/>
      <c r="B66" s="2"/>
      <c r="C66" s="2"/>
      <c r="D66" s="2"/>
      <c r="E66" s="2"/>
      <c r="F66" s="2"/>
      <c r="G66" s="2"/>
    </row>
    <row r="67" spans="1:7" ht="15" customHeight="1" x14ac:dyDescent="0.25">
      <c r="A67" s="2"/>
      <c r="B67" s="2"/>
      <c r="C67" s="2"/>
      <c r="D67" s="2"/>
      <c r="E67" s="2"/>
      <c r="F67" s="2"/>
      <c r="G67" s="2"/>
    </row>
    <row r="68" spans="1:7" ht="15" customHeight="1" x14ac:dyDescent="0.25">
      <c r="A68" s="2"/>
      <c r="B68" s="2"/>
      <c r="C68" s="2"/>
      <c r="D68" s="2"/>
      <c r="E68" s="2"/>
      <c r="F68" s="2"/>
      <c r="G68" s="2"/>
    </row>
    <row r="69" spans="1:7" ht="15" customHeight="1" x14ac:dyDescent="0.25">
      <c r="A69" s="2"/>
      <c r="B69" s="2"/>
      <c r="C69" s="2"/>
      <c r="D69" s="2"/>
      <c r="E69" s="2"/>
      <c r="F69" s="2"/>
      <c r="G69" s="2"/>
    </row>
    <row r="70" spans="1:7" ht="15" customHeight="1" x14ac:dyDescent="0.25">
      <c r="A70" s="2"/>
      <c r="B70" s="2"/>
      <c r="C70" s="2"/>
      <c r="D70" s="2"/>
      <c r="E70" s="2"/>
      <c r="F70" s="2"/>
      <c r="G70" s="2"/>
    </row>
    <row r="71" spans="1:7" ht="15" customHeight="1" x14ac:dyDescent="0.25">
      <c r="A71" s="2"/>
      <c r="B71" s="2"/>
      <c r="C71" s="2"/>
      <c r="D71" s="2"/>
      <c r="E71" s="2"/>
      <c r="F71" s="2"/>
      <c r="G71" s="2"/>
    </row>
    <row r="72" spans="1:7" ht="15" customHeight="1" x14ac:dyDescent="0.25">
      <c r="A72" s="2"/>
      <c r="B72" s="2"/>
      <c r="C72" s="2"/>
      <c r="D72" s="2"/>
      <c r="E72" s="2"/>
      <c r="F72" s="2"/>
      <c r="G72" s="2"/>
    </row>
    <row r="73" spans="1:7" ht="15" customHeight="1" x14ac:dyDescent="0.25">
      <c r="A73" s="2"/>
      <c r="B73" s="2"/>
      <c r="C73" s="2"/>
      <c r="D73" s="2"/>
      <c r="E73" s="2"/>
      <c r="F73" s="2"/>
      <c r="G73" s="2"/>
    </row>
    <row r="74" spans="1:7" ht="15" customHeight="1" x14ac:dyDescent="0.25">
      <c r="A74" s="2"/>
      <c r="B74" s="2"/>
      <c r="C74" s="2"/>
      <c r="D74" s="2"/>
      <c r="E74" s="2"/>
      <c r="F74" s="2"/>
      <c r="G74" s="2"/>
    </row>
    <row r="75" spans="1:7" ht="15" customHeight="1" x14ac:dyDescent="0.25">
      <c r="A75" s="2"/>
      <c r="B75" s="2"/>
      <c r="C75" s="2"/>
      <c r="D75" s="2"/>
      <c r="E75" s="2"/>
      <c r="F75" s="2"/>
      <c r="G75" s="2"/>
    </row>
    <row r="76" spans="1:7" ht="15" customHeight="1" x14ac:dyDescent="0.25">
      <c r="A76" s="2"/>
      <c r="B76" s="2"/>
      <c r="C76" s="2"/>
      <c r="D76" s="2"/>
      <c r="E76" s="2"/>
      <c r="F76" s="2"/>
      <c r="G76" s="2"/>
    </row>
    <row r="77" spans="1:7" ht="15" customHeight="1" x14ac:dyDescent="0.25">
      <c r="A77" s="2"/>
      <c r="B77" s="2"/>
      <c r="C77" s="2"/>
      <c r="D77" s="2"/>
      <c r="E77" s="2"/>
      <c r="F77" s="2"/>
      <c r="G77" s="2"/>
    </row>
    <row r="78" spans="1:7" ht="15" customHeight="1" x14ac:dyDescent="0.25">
      <c r="A78" s="2"/>
      <c r="B78" s="2"/>
      <c r="C78" s="2"/>
      <c r="D78" s="2"/>
      <c r="E78" s="2"/>
      <c r="F78" s="2"/>
      <c r="G78" s="2"/>
    </row>
    <row r="79" spans="1:7" ht="15" customHeight="1" x14ac:dyDescent="0.25">
      <c r="A79" s="2"/>
      <c r="B79" s="2"/>
      <c r="C79" s="2"/>
      <c r="D79" s="2"/>
      <c r="E79" s="2"/>
      <c r="F79" s="2"/>
      <c r="G79" s="2"/>
    </row>
    <row r="80" spans="1:7" ht="15" customHeight="1" x14ac:dyDescent="0.25">
      <c r="A80" s="2"/>
      <c r="B80" s="2"/>
      <c r="C80" s="2"/>
      <c r="D80" s="2"/>
      <c r="E80" s="2"/>
      <c r="F80" s="2"/>
      <c r="G8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0"/>
  <sheetViews>
    <sheetView showGridLines="0" workbookViewId="0"/>
  </sheetViews>
  <sheetFormatPr defaultRowHeight="15" x14ac:dyDescent="0.25"/>
  <cols>
    <col min="1" max="1" width="35" customWidth="1"/>
    <col min="2" max="4" width="22" customWidth="1"/>
    <col min="5" max="17" width="9" customWidth="1"/>
  </cols>
  <sheetData>
    <row r="1" spans="1:7" ht="36" customHeight="1" x14ac:dyDescent="0.25">
      <c r="A1" s="10" t="s">
        <v>100</v>
      </c>
      <c r="B1" s="10" t="s">
        <v>175</v>
      </c>
      <c r="C1" s="10" t="s">
        <v>176</v>
      </c>
      <c r="D1" s="10"/>
      <c r="E1" s="1"/>
      <c r="F1" s="1"/>
      <c r="G1" s="1"/>
    </row>
    <row r="2" spans="1:7" ht="23.1" customHeight="1" x14ac:dyDescent="0.25">
      <c r="A2" s="11" t="s">
        <v>47</v>
      </c>
      <c r="B2" s="13">
        <f>Трудоемкость_ASIS!D10</f>
        <v>45</v>
      </c>
      <c r="C2" s="13">
        <f>Трудоемкость_TOBE!D9</f>
        <v>15</v>
      </c>
      <c r="D2" s="12"/>
      <c r="E2" s="2"/>
      <c r="F2" s="2"/>
      <c r="G2" s="2"/>
    </row>
    <row r="3" spans="1:7" ht="23.1" customHeight="1" x14ac:dyDescent="0.25">
      <c r="A3" s="11" t="s">
        <v>177</v>
      </c>
      <c r="B3" s="12">
        <f>Трудоемкость_ASIS!D12</f>
        <v>423.33333333333331</v>
      </c>
      <c r="C3" s="12">
        <f>Трудоемкость_TOBE!D11</f>
        <v>143.33333333333334</v>
      </c>
      <c r="D3" s="12"/>
      <c r="E3" s="2"/>
      <c r="F3" s="2"/>
      <c r="G3" s="2"/>
    </row>
    <row r="4" spans="1:7" ht="36" customHeight="1" x14ac:dyDescent="0.25">
      <c r="A4" s="11" t="s">
        <v>178</v>
      </c>
      <c r="B4" s="12">
        <f>SUM(Трудоемкость_ASIS!C2:C6)</f>
        <v>40</v>
      </c>
      <c r="C4" s="12">
        <f>SUM(Трудоемкость_TOBE!C2:C5)</f>
        <v>13</v>
      </c>
      <c r="D4" s="12"/>
      <c r="E4" s="2"/>
      <c r="F4" s="2"/>
      <c r="G4" s="2"/>
    </row>
    <row r="5" spans="1:7" ht="36" customHeight="1" x14ac:dyDescent="0.25">
      <c r="A5" s="11" t="s">
        <v>179</v>
      </c>
      <c r="B5" s="12">
        <v>0</v>
      </c>
      <c r="C5" s="12">
        <v>4</v>
      </c>
      <c r="D5" s="12"/>
      <c r="E5" s="2"/>
      <c r="F5" s="2"/>
      <c r="G5" s="2"/>
    </row>
    <row r="6" spans="1:7" ht="23.1" customHeight="1" x14ac:dyDescent="0.25">
      <c r="A6" s="11"/>
      <c r="B6" s="12"/>
      <c r="C6" s="12"/>
      <c r="D6" s="12"/>
      <c r="E6" s="2"/>
      <c r="F6" s="2"/>
      <c r="G6" s="2"/>
    </row>
    <row r="7" spans="1:7" ht="23.1" customHeight="1" x14ac:dyDescent="0.25">
      <c r="A7" s="11"/>
      <c r="B7" s="12"/>
      <c r="C7" s="12"/>
      <c r="D7" s="12"/>
      <c r="E7" s="2"/>
      <c r="F7" s="2"/>
      <c r="G7" s="2"/>
    </row>
    <row r="8" spans="1:7" ht="36" customHeight="1" x14ac:dyDescent="0.25">
      <c r="A8" s="11" t="s">
        <v>180</v>
      </c>
      <c r="B8" s="12" t="s">
        <v>28</v>
      </c>
      <c r="C8" s="12"/>
      <c r="D8" s="12"/>
      <c r="E8" s="2"/>
      <c r="F8" s="2"/>
      <c r="G8" s="2"/>
    </row>
    <row r="9" spans="1:7" ht="36" customHeight="1" x14ac:dyDescent="0.25">
      <c r="A9" s="11" t="s">
        <v>181</v>
      </c>
      <c r="B9" s="12">
        <f>Эффективность!C5</f>
        <v>38038.000000000007</v>
      </c>
      <c r="C9" s="12"/>
      <c r="D9" s="12"/>
      <c r="E9" s="2"/>
      <c r="F9" s="2"/>
      <c r="G9" s="2"/>
    </row>
    <row r="10" spans="1:7" ht="36" customHeight="1" x14ac:dyDescent="0.25">
      <c r="A10" s="11" t="s">
        <v>182</v>
      </c>
      <c r="B10" s="12">
        <f>Эффективность!C6</f>
        <v>13200</v>
      </c>
      <c r="C10" s="12"/>
      <c r="D10" s="12"/>
      <c r="E10" s="2"/>
      <c r="F10" s="2"/>
      <c r="G10" s="2"/>
    </row>
    <row r="11" spans="1:7" ht="36" customHeight="1" x14ac:dyDescent="0.25">
      <c r="A11" s="11" t="s">
        <v>183</v>
      </c>
      <c r="B11" s="12">
        <f>Эффективность!C7</f>
        <v>2490.5833333333339</v>
      </c>
      <c r="C11" s="12"/>
      <c r="D11" s="12"/>
      <c r="E11" s="2"/>
      <c r="F11" s="2"/>
      <c r="G11" s="2"/>
    </row>
    <row r="12" spans="1:7" ht="36" customHeight="1" x14ac:dyDescent="0.25">
      <c r="A12" s="11" t="s">
        <v>184</v>
      </c>
      <c r="B12" s="12">
        <f>-Эффективность!C9</f>
        <v>-8000</v>
      </c>
      <c r="C12" s="12"/>
      <c r="D12" s="12"/>
      <c r="E12" s="2"/>
      <c r="F12" s="2"/>
      <c r="G12" s="2"/>
    </row>
    <row r="13" spans="1:7" ht="23.1" customHeight="1" x14ac:dyDescent="0.25">
      <c r="A13" s="11" t="s">
        <v>120</v>
      </c>
      <c r="B13" s="12">
        <f>Эффективность!C10</f>
        <v>45728.583333333343</v>
      </c>
      <c r="C13" s="12"/>
      <c r="D13" s="12"/>
      <c r="E13" s="2"/>
      <c r="F13" s="2"/>
      <c r="G13" s="2"/>
    </row>
    <row r="14" spans="1:7" ht="23.1" customHeight="1" x14ac:dyDescent="0.25">
      <c r="A14" s="11"/>
      <c r="B14" s="12"/>
      <c r="C14" s="12"/>
      <c r="D14" s="12"/>
      <c r="E14" s="2"/>
      <c r="F14" s="2"/>
      <c r="G14" s="2"/>
    </row>
    <row r="15" spans="1:7" ht="23.1" customHeight="1" x14ac:dyDescent="0.25">
      <c r="A15" s="11"/>
      <c r="B15" s="12"/>
      <c r="C15" s="12"/>
      <c r="D15" s="12"/>
      <c r="E15" s="2"/>
      <c r="F15" s="2"/>
      <c r="G15" s="2"/>
    </row>
    <row r="16" spans="1:7" ht="36" customHeight="1" x14ac:dyDescent="0.25">
      <c r="A16" s="11" t="s">
        <v>134</v>
      </c>
      <c r="B16" s="12" t="s">
        <v>137</v>
      </c>
      <c r="C16" s="12" t="s">
        <v>185</v>
      </c>
      <c r="D16" s="12" t="s">
        <v>139</v>
      </c>
      <c r="E16" s="2"/>
      <c r="F16" s="2"/>
      <c r="G16" s="2"/>
    </row>
    <row r="17" spans="1:7" ht="23.1" customHeight="1" x14ac:dyDescent="0.25">
      <c r="A17" s="11">
        <v>0</v>
      </c>
      <c r="B17" s="12">
        <f>Денежный_поток!D2</f>
        <v>-42050</v>
      </c>
      <c r="C17" s="12">
        <f>B17</f>
        <v>-42050</v>
      </c>
      <c r="D17" s="12">
        <f>Денежный_поток!F2</f>
        <v>-42050</v>
      </c>
      <c r="E17" s="2"/>
      <c r="F17" s="2"/>
      <c r="G17" s="2"/>
    </row>
    <row r="18" spans="1:7" ht="23.1" customHeight="1" x14ac:dyDescent="0.25">
      <c r="A18" s="11">
        <v>1</v>
      </c>
      <c r="B18" s="12">
        <f>Денежный_поток!D3</f>
        <v>45728.583333333343</v>
      </c>
      <c r="C18" s="12">
        <f>C17+B18</f>
        <v>3678.583333333343</v>
      </c>
      <c r="D18" s="12">
        <f>Денежный_поток!F3</f>
        <v>40829.092261904771</v>
      </c>
      <c r="E18" s="2"/>
      <c r="F18" s="2"/>
      <c r="G18" s="2"/>
    </row>
    <row r="19" spans="1:7" ht="23.1" customHeight="1" x14ac:dyDescent="0.25">
      <c r="A19" s="11">
        <v>2</v>
      </c>
      <c r="B19" s="12">
        <f>Денежный_поток!D4</f>
        <v>45728.583333333343</v>
      </c>
      <c r="C19" s="12">
        <f>C18+B19</f>
        <v>49407.166666666686</v>
      </c>
      <c r="D19" s="12">
        <f>Денежный_поток!F4</f>
        <v>36454.54666241497</v>
      </c>
      <c r="E19" s="2"/>
      <c r="F19" s="2"/>
      <c r="G19" s="2"/>
    </row>
    <row r="20" spans="1:7" ht="23.1" customHeight="1" x14ac:dyDescent="0.25">
      <c r="A20" s="11">
        <v>3</v>
      </c>
      <c r="B20" s="12">
        <f>Денежный_поток!D5</f>
        <v>45728.583333333343</v>
      </c>
      <c r="C20" s="12">
        <f>C19+B20</f>
        <v>95135.750000000029</v>
      </c>
      <c r="D20" s="12">
        <f>Денежный_поток!F5</f>
        <v>32548.702377156216</v>
      </c>
      <c r="E20" s="2"/>
      <c r="F20" s="2"/>
      <c r="G20" s="2"/>
    </row>
    <row r="21" spans="1:7" ht="23.1" customHeight="1" x14ac:dyDescent="0.25">
      <c r="A21" s="11"/>
      <c r="B21" s="11"/>
      <c r="C21" s="11"/>
      <c r="D21" s="11"/>
      <c r="E21" s="2"/>
      <c r="F21" s="2"/>
      <c r="G21" s="2"/>
    </row>
    <row r="22" spans="1:7" ht="23.1" customHeight="1" x14ac:dyDescent="0.25">
      <c r="A22" s="14" t="s">
        <v>186</v>
      </c>
      <c r="B22" s="14"/>
      <c r="C22" s="14"/>
      <c r="D22" s="14"/>
      <c r="E22" s="2"/>
      <c r="F22" s="2"/>
      <c r="G22" s="2"/>
    </row>
    <row r="23" spans="1:7" ht="23.1" customHeight="1" x14ac:dyDescent="0.25">
      <c r="A23" s="11"/>
      <c r="B23" s="11"/>
      <c r="C23" s="11"/>
      <c r="D23" s="11"/>
      <c r="E23" s="2"/>
      <c r="F23" s="2"/>
      <c r="G23" s="2"/>
    </row>
    <row r="24" spans="1:7" ht="23.1" customHeight="1" x14ac:dyDescent="0.25">
      <c r="A24" s="15" t="s">
        <v>187</v>
      </c>
      <c r="B24" s="15"/>
      <c r="C24" s="15"/>
      <c r="D24" s="15"/>
      <c r="E24" s="2"/>
      <c r="F24" s="2"/>
      <c r="G24" s="2"/>
    </row>
    <row r="25" spans="1:7" ht="23.1" customHeight="1" x14ac:dyDescent="0.25">
      <c r="A25" s="15"/>
      <c r="B25" s="15"/>
      <c r="C25" s="15"/>
      <c r="D25" s="15"/>
      <c r="E25" s="2"/>
      <c r="F25" s="2"/>
      <c r="G25" s="2"/>
    </row>
    <row r="26" spans="1:7" ht="23.1" customHeight="1" x14ac:dyDescent="0.25">
      <c r="A26" s="15"/>
      <c r="B26" s="15"/>
      <c r="C26" s="15"/>
      <c r="D26" s="15"/>
      <c r="E26" s="2"/>
      <c r="F26" s="2"/>
      <c r="G26" s="2"/>
    </row>
    <row r="27" spans="1:7" ht="23.1" customHeight="1" x14ac:dyDescent="0.25">
      <c r="A27" s="11"/>
      <c r="B27" s="11"/>
      <c r="C27" s="11"/>
      <c r="D27" s="11"/>
      <c r="E27" s="2"/>
      <c r="F27" s="2"/>
      <c r="G27" s="2"/>
    </row>
    <row r="28" spans="1:7" ht="23.1" customHeight="1" x14ac:dyDescent="0.25">
      <c r="A28" s="11"/>
      <c r="B28" s="11"/>
      <c r="C28" s="11"/>
      <c r="D28" s="11"/>
      <c r="E28" s="2"/>
      <c r="F28" s="2"/>
      <c r="G28" s="2"/>
    </row>
    <row r="29" spans="1:7" ht="23.1" customHeight="1" x14ac:dyDescent="0.25">
      <c r="A29" s="11"/>
      <c r="B29" s="11"/>
      <c r="C29" s="11"/>
      <c r="D29" s="11"/>
      <c r="E29" s="2"/>
      <c r="F29" s="2"/>
      <c r="G29" s="2"/>
    </row>
    <row r="30" spans="1:7" ht="23.1" customHeight="1" x14ac:dyDescent="0.25">
      <c r="A30" s="11"/>
      <c r="B30" s="11"/>
      <c r="C30" s="11"/>
      <c r="D30" s="11"/>
      <c r="E30" s="2"/>
      <c r="F30" s="2"/>
      <c r="G30" s="2"/>
    </row>
    <row r="31" spans="1:7" ht="23.1" customHeight="1" x14ac:dyDescent="0.25">
      <c r="A31" s="11"/>
      <c r="B31" s="11"/>
      <c r="C31" s="11"/>
      <c r="D31" s="11"/>
      <c r="E31" s="2"/>
      <c r="F31" s="2"/>
      <c r="G31" s="2"/>
    </row>
    <row r="32" spans="1:7" ht="23.1" customHeight="1" x14ac:dyDescent="0.25">
      <c r="A32" s="11"/>
      <c r="B32" s="11"/>
      <c r="C32" s="11"/>
      <c r="D32" s="11"/>
      <c r="E32" s="2"/>
      <c r="F32" s="2"/>
      <c r="G32" s="2"/>
    </row>
    <row r="33" spans="1:7" ht="23.1" customHeight="1" x14ac:dyDescent="0.25">
      <c r="A33" s="11"/>
      <c r="B33" s="11"/>
      <c r="C33" s="11"/>
      <c r="D33" s="11"/>
      <c r="E33" s="2"/>
      <c r="F33" s="2"/>
      <c r="G33" s="2"/>
    </row>
    <row r="34" spans="1:7" ht="23.1" customHeight="1" x14ac:dyDescent="0.25">
      <c r="A34" s="11"/>
      <c r="B34" s="11"/>
      <c r="C34" s="11"/>
      <c r="D34" s="11"/>
      <c r="E34" s="2"/>
      <c r="F34" s="2"/>
      <c r="G34" s="2"/>
    </row>
    <row r="35" spans="1:7" ht="23.1" customHeight="1" x14ac:dyDescent="0.25">
      <c r="A35" s="11"/>
      <c r="B35" s="11"/>
      <c r="C35" s="11"/>
      <c r="D35" s="11"/>
      <c r="E35" s="2"/>
      <c r="F35" s="2"/>
      <c r="G35" s="2"/>
    </row>
    <row r="36" spans="1:7" ht="23.1" customHeight="1" x14ac:dyDescent="0.25">
      <c r="A36" s="11"/>
      <c r="B36" s="11"/>
      <c r="C36" s="11"/>
      <c r="D36" s="11"/>
      <c r="E36" s="2"/>
      <c r="F36" s="2"/>
      <c r="G36" s="2"/>
    </row>
    <row r="37" spans="1:7" ht="23.1" customHeight="1" x14ac:dyDescent="0.25">
      <c r="A37" s="11"/>
      <c r="B37" s="11"/>
      <c r="C37" s="11"/>
      <c r="D37" s="11"/>
      <c r="E37" s="2"/>
      <c r="F37" s="2"/>
      <c r="G37" s="2"/>
    </row>
    <row r="38" spans="1:7" ht="23.1" customHeight="1" x14ac:dyDescent="0.25">
      <c r="A38" s="11"/>
      <c r="B38" s="11"/>
      <c r="C38" s="11"/>
      <c r="D38" s="11"/>
      <c r="E38" s="2"/>
      <c r="F38" s="2"/>
      <c r="G38" s="2"/>
    </row>
    <row r="39" spans="1:7" ht="23.1" customHeight="1" x14ac:dyDescent="0.25">
      <c r="A39" s="11"/>
      <c r="B39" s="11"/>
      <c r="C39" s="11"/>
      <c r="D39" s="11"/>
      <c r="E39" s="2"/>
      <c r="F39" s="2"/>
      <c r="G39" s="2"/>
    </row>
    <row r="40" spans="1:7" ht="23.1" customHeight="1" x14ac:dyDescent="0.25">
      <c r="A40" s="11"/>
      <c r="B40" s="11"/>
      <c r="C40" s="11"/>
      <c r="D40" s="11"/>
      <c r="E40" s="2"/>
      <c r="F40" s="2"/>
      <c r="G40" s="2"/>
    </row>
    <row r="41" spans="1:7" ht="23.1" customHeight="1" x14ac:dyDescent="0.25">
      <c r="A41" s="11"/>
      <c r="B41" s="11"/>
      <c r="C41" s="11"/>
      <c r="D41" s="11"/>
      <c r="E41" s="2"/>
      <c r="F41" s="2"/>
      <c r="G41" s="2"/>
    </row>
    <row r="42" spans="1:7" ht="23.1" customHeight="1" x14ac:dyDescent="0.25">
      <c r="A42" s="11"/>
      <c r="B42" s="11"/>
      <c r="C42" s="11"/>
      <c r="D42" s="11"/>
      <c r="E42" s="2"/>
      <c r="F42" s="2"/>
      <c r="G42" s="2"/>
    </row>
    <row r="43" spans="1:7" ht="23.1" customHeight="1" x14ac:dyDescent="0.25">
      <c r="A43" s="11"/>
      <c r="B43" s="11"/>
      <c r="C43" s="11"/>
      <c r="D43" s="11"/>
      <c r="E43" s="2"/>
      <c r="F43" s="2"/>
      <c r="G43" s="2"/>
    </row>
    <row r="44" spans="1:7" ht="23.1" customHeight="1" x14ac:dyDescent="0.25">
      <c r="A44" s="11"/>
      <c r="B44" s="11"/>
      <c r="C44" s="11"/>
      <c r="D44" s="11"/>
      <c r="E44" s="2"/>
      <c r="F44" s="2"/>
      <c r="G44" s="2"/>
    </row>
    <row r="45" spans="1:7" ht="23.1" customHeight="1" x14ac:dyDescent="0.25">
      <c r="A45" s="11"/>
      <c r="B45" s="11"/>
      <c r="C45" s="11"/>
      <c r="D45" s="11"/>
      <c r="E45" s="2"/>
      <c r="F45" s="2"/>
      <c r="G45" s="2"/>
    </row>
    <row r="46" spans="1:7" ht="23.1" customHeight="1" x14ac:dyDescent="0.25">
      <c r="A46" s="11"/>
      <c r="B46" s="11"/>
      <c r="C46" s="11"/>
      <c r="D46" s="11"/>
      <c r="E46" s="2"/>
      <c r="F46" s="2"/>
      <c r="G46" s="2"/>
    </row>
    <row r="47" spans="1:7" ht="23.1" customHeight="1" x14ac:dyDescent="0.25">
      <c r="A47" s="11"/>
      <c r="B47" s="11"/>
      <c r="C47" s="11"/>
      <c r="D47" s="11"/>
      <c r="E47" s="2"/>
      <c r="F47" s="2"/>
      <c r="G47" s="2"/>
    </row>
    <row r="48" spans="1:7" ht="23.1" customHeight="1" x14ac:dyDescent="0.25">
      <c r="A48" s="11"/>
      <c r="B48" s="11"/>
      <c r="C48" s="11"/>
      <c r="D48" s="11"/>
      <c r="E48" s="2"/>
      <c r="F48" s="2"/>
      <c r="G48" s="2"/>
    </row>
    <row r="49" spans="1:7" ht="23.1" customHeight="1" x14ac:dyDescent="0.25">
      <c r="A49" s="11"/>
      <c r="B49" s="11"/>
      <c r="C49" s="11"/>
      <c r="D49" s="11"/>
      <c r="E49" s="2"/>
      <c r="F49" s="2"/>
      <c r="G49" s="2"/>
    </row>
    <row r="50" spans="1:7" ht="23.1" customHeight="1" x14ac:dyDescent="0.25">
      <c r="A50" s="11"/>
      <c r="B50" s="11"/>
      <c r="C50" s="11"/>
      <c r="D50" s="11"/>
      <c r="E50" s="2"/>
      <c r="F50" s="2"/>
      <c r="G50" s="2"/>
    </row>
    <row r="51" spans="1:7" ht="23.1" customHeight="1" x14ac:dyDescent="0.25">
      <c r="A51" s="11"/>
      <c r="B51" s="11"/>
      <c r="C51" s="11"/>
      <c r="D51" s="11"/>
      <c r="E51" s="2"/>
      <c r="F51" s="2"/>
      <c r="G51" s="2"/>
    </row>
    <row r="52" spans="1:7" ht="23.1" customHeight="1" x14ac:dyDescent="0.25">
      <c r="A52" s="11"/>
      <c r="B52" s="11"/>
      <c r="C52" s="11"/>
      <c r="D52" s="11"/>
      <c r="E52" s="2"/>
      <c r="F52" s="2"/>
      <c r="G52" s="2"/>
    </row>
    <row r="53" spans="1:7" ht="23.1" customHeight="1" x14ac:dyDescent="0.25">
      <c r="A53" s="11"/>
      <c r="B53" s="11"/>
      <c r="C53" s="11"/>
      <c r="D53" s="11"/>
      <c r="E53" s="2"/>
      <c r="F53" s="2"/>
      <c r="G53" s="2"/>
    </row>
    <row r="54" spans="1:7" ht="23.1" customHeight="1" x14ac:dyDescent="0.25">
      <c r="A54" s="11"/>
      <c r="B54" s="11"/>
      <c r="C54" s="11"/>
      <c r="D54" s="11"/>
      <c r="E54" s="2"/>
      <c r="F54" s="2"/>
      <c r="G54" s="2"/>
    </row>
    <row r="55" spans="1:7" ht="23.1" customHeight="1" x14ac:dyDescent="0.25">
      <c r="A55" s="11"/>
      <c r="B55" s="11"/>
      <c r="C55" s="11"/>
      <c r="D55" s="11"/>
      <c r="E55" s="2"/>
      <c r="F55" s="2"/>
      <c r="G55" s="2"/>
    </row>
    <row r="56" spans="1:7" ht="23.1" customHeight="1" x14ac:dyDescent="0.25">
      <c r="A56" s="11"/>
      <c r="B56" s="11"/>
      <c r="C56" s="11"/>
      <c r="D56" s="11"/>
      <c r="E56" s="2"/>
      <c r="F56" s="2"/>
      <c r="G56" s="2"/>
    </row>
    <row r="57" spans="1:7" ht="23.1" customHeight="1" x14ac:dyDescent="0.25">
      <c r="A57" s="11"/>
      <c r="B57" s="11"/>
      <c r="C57" s="11"/>
      <c r="D57" s="11"/>
      <c r="E57" s="2"/>
      <c r="F57" s="2"/>
      <c r="G57" s="2"/>
    </row>
    <row r="58" spans="1:7" ht="23.1" customHeight="1" x14ac:dyDescent="0.25">
      <c r="A58" s="11"/>
      <c r="B58" s="11"/>
      <c r="C58" s="11"/>
      <c r="D58" s="11"/>
      <c r="E58" s="2"/>
      <c r="F58" s="2"/>
      <c r="G58" s="2"/>
    </row>
    <row r="59" spans="1:7" ht="23.1" customHeight="1" x14ac:dyDescent="0.25">
      <c r="A59" s="11"/>
      <c r="B59" s="11"/>
      <c r="C59" s="11"/>
      <c r="D59" s="11"/>
      <c r="E59" s="2"/>
      <c r="F59" s="2"/>
      <c r="G59" s="2"/>
    </row>
    <row r="60" spans="1:7" ht="23.1" customHeight="1" x14ac:dyDescent="0.25">
      <c r="A60" s="11"/>
      <c r="B60" s="11"/>
      <c r="C60" s="11"/>
      <c r="D60" s="11"/>
      <c r="E60" s="2"/>
      <c r="F60" s="2"/>
      <c r="G60" s="2"/>
    </row>
    <row r="61" spans="1:7" ht="15" customHeight="1" x14ac:dyDescent="0.25">
      <c r="A61" s="2"/>
      <c r="B61" s="2"/>
      <c r="C61" s="2"/>
      <c r="D61" s="2"/>
      <c r="E61" s="2"/>
      <c r="F61" s="2"/>
      <c r="G61" s="2"/>
    </row>
    <row r="62" spans="1:7" ht="15" customHeight="1" x14ac:dyDescent="0.25">
      <c r="A62" s="2"/>
      <c r="B62" s="2"/>
      <c r="C62" s="2"/>
      <c r="D62" s="2"/>
      <c r="E62" s="2"/>
      <c r="F62" s="2"/>
      <c r="G62" s="2"/>
    </row>
    <row r="63" spans="1:7" ht="15" customHeight="1" x14ac:dyDescent="0.25">
      <c r="A63" s="2"/>
      <c r="B63" s="2"/>
      <c r="C63" s="2"/>
      <c r="D63" s="2"/>
      <c r="E63" s="2"/>
      <c r="F63" s="2"/>
      <c r="G63" s="2"/>
    </row>
    <row r="64" spans="1:7" ht="15" customHeight="1" x14ac:dyDescent="0.25">
      <c r="A64" s="2"/>
      <c r="B64" s="2"/>
      <c r="C64" s="2"/>
      <c r="D64" s="2"/>
      <c r="E64" s="2"/>
      <c r="F64" s="2"/>
      <c r="G64" s="2"/>
    </row>
    <row r="65" spans="1:7" ht="15" customHeight="1" x14ac:dyDescent="0.25">
      <c r="A65" s="2"/>
      <c r="B65" s="2"/>
      <c r="C65" s="2"/>
      <c r="D65" s="2"/>
      <c r="E65" s="2"/>
      <c r="F65" s="2"/>
      <c r="G65" s="2"/>
    </row>
    <row r="66" spans="1:7" ht="15" customHeight="1" x14ac:dyDescent="0.25">
      <c r="A66" s="2"/>
      <c r="B66" s="2"/>
      <c r="C66" s="2"/>
      <c r="D66" s="2"/>
      <c r="E66" s="2"/>
      <c r="F66" s="2"/>
      <c r="G66" s="2"/>
    </row>
    <row r="67" spans="1:7" ht="15" customHeight="1" x14ac:dyDescent="0.25">
      <c r="A67" s="2"/>
      <c r="B67" s="2"/>
      <c r="C67" s="2"/>
      <c r="D67" s="2"/>
      <c r="E67" s="2"/>
      <c r="F67" s="2"/>
      <c r="G67" s="2"/>
    </row>
    <row r="68" spans="1:7" ht="15" customHeight="1" x14ac:dyDescent="0.25">
      <c r="A68" s="2"/>
      <c r="B68" s="2"/>
      <c r="C68" s="2"/>
      <c r="D68" s="2"/>
      <c r="E68" s="2"/>
      <c r="F68" s="2"/>
      <c r="G68" s="2"/>
    </row>
    <row r="69" spans="1:7" ht="15" customHeight="1" x14ac:dyDescent="0.25">
      <c r="A69" s="2"/>
      <c r="B69" s="2"/>
      <c r="C69" s="2"/>
      <c r="D69" s="2"/>
      <c r="E69" s="2"/>
      <c r="F69" s="2"/>
      <c r="G69" s="2"/>
    </row>
    <row r="70" spans="1:7" ht="15" customHeight="1" x14ac:dyDescent="0.25">
      <c r="A70" s="2"/>
      <c r="B70" s="2"/>
      <c r="C70" s="2"/>
      <c r="D70" s="2"/>
      <c r="E70" s="2"/>
      <c r="F70" s="2"/>
      <c r="G70" s="2"/>
    </row>
    <row r="71" spans="1:7" ht="15" customHeight="1" x14ac:dyDescent="0.25">
      <c r="A71" s="2"/>
      <c r="B71" s="2"/>
      <c r="C71" s="2"/>
      <c r="D71" s="2"/>
      <c r="E71" s="2"/>
      <c r="F71" s="2"/>
      <c r="G71" s="2"/>
    </row>
    <row r="72" spans="1:7" ht="15" customHeight="1" x14ac:dyDescent="0.25">
      <c r="A72" s="2"/>
      <c r="B72" s="2"/>
      <c r="C72" s="2"/>
      <c r="D72" s="2"/>
      <c r="E72" s="2"/>
      <c r="F72" s="2"/>
      <c r="G72" s="2"/>
    </row>
    <row r="73" spans="1:7" ht="15" customHeight="1" x14ac:dyDescent="0.25">
      <c r="A73" s="2"/>
      <c r="B73" s="2"/>
      <c r="C73" s="2"/>
      <c r="D73" s="2"/>
      <c r="E73" s="2"/>
      <c r="F73" s="2"/>
      <c r="G73" s="2"/>
    </row>
    <row r="74" spans="1:7" ht="15" customHeight="1" x14ac:dyDescent="0.25">
      <c r="A74" s="2"/>
      <c r="B74" s="2"/>
      <c r="C74" s="2"/>
      <c r="D74" s="2"/>
      <c r="E74" s="2"/>
      <c r="F74" s="2"/>
      <c r="G74" s="2"/>
    </row>
    <row r="75" spans="1:7" ht="15" customHeight="1" x14ac:dyDescent="0.25">
      <c r="A75" s="2"/>
      <c r="B75" s="2"/>
      <c r="C75" s="2"/>
      <c r="D75" s="2"/>
      <c r="E75" s="2"/>
      <c r="F75" s="2"/>
      <c r="G75" s="2"/>
    </row>
    <row r="76" spans="1:7" ht="15" customHeight="1" x14ac:dyDescent="0.25">
      <c r="A76" s="2"/>
      <c r="B76" s="2"/>
      <c r="C76" s="2"/>
      <c r="D76" s="2"/>
      <c r="E76" s="2"/>
      <c r="F76" s="2"/>
      <c r="G76" s="2"/>
    </row>
    <row r="77" spans="1:7" ht="15" customHeight="1" x14ac:dyDescent="0.25">
      <c r="A77" s="2"/>
      <c r="B77" s="2"/>
      <c r="C77" s="2"/>
      <c r="D77" s="2"/>
      <c r="E77" s="2"/>
      <c r="F77" s="2"/>
      <c r="G77" s="2"/>
    </row>
    <row r="78" spans="1:7" ht="15" customHeight="1" x14ac:dyDescent="0.25">
      <c r="A78" s="2"/>
      <c r="B78" s="2"/>
      <c r="C78" s="2"/>
      <c r="D78" s="2"/>
      <c r="E78" s="2"/>
      <c r="F78" s="2"/>
      <c r="G78" s="2"/>
    </row>
    <row r="79" spans="1:7" ht="15" customHeight="1" x14ac:dyDescent="0.25">
      <c r="A79" s="2"/>
      <c r="B79" s="2"/>
      <c r="C79" s="2"/>
      <c r="D79" s="2"/>
      <c r="E79" s="2"/>
      <c r="F79" s="2"/>
      <c r="G79" s="2"/>
    </row>
    <row r="80" spans="1:7" ht="15" customHeight="1" x14ac:dyDescent="0.25">
      <c r="A80" s="2"/>
      <c r="B80" s="2"/>
      <c r="C80" s="2"/>
      <c r="D80" s="2"/>
      <c r="E80" s="2"/>
      <c r="F80" s="2"/>
      <c r="G80" s="2"/>
    </row>
  </sheetData>
  <mergeCells count="2">
    <mergeCell ref="A22:D22"/>
    <mergeCell ref="A24:D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Исходные_данные</vt:lpstr>
      <vt:lpstr>Трудоемкость_ASIS</vt:lpstr>
      <vt:lpstr>Трудоемкость_TOBE</vt:lpstr>
      <vt:lpstr>Стоимость_разработки</vt:lpstr>
      <vt:lpstr>Эффективность</vt:lpstr>
      <vt:lpstr>Денежный_поток</vt:lpstr>
      <vt:lpstr>Чувствительность</vt:lpstr>
      <vt:lpstr>Пояснения</vt:lpstr>
      <vt:lpstr>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Alexey Flouter</cp:lastModifiedBy>
  <dcterms:created xsi:type="dcterms:W3CDTF">2026-09-10T03:43:51Z</dcterms:created>
  <dcterms:modified xsi:type="dcterms:W3CDTF">2026-09-10T03:43:51Z</dcterms:modified>
</cp:coreProperties>
</file>